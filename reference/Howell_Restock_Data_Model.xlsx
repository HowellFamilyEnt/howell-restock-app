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shboard" sheetId="2" state="visible" r:id="rId4"/>
    <sheet name="Properties" sheetId="3" state="visible" r:id="rId5"/>
    <sheet name="Item Catalog" sheetId="4" state="visible" r:id="rId6"/>
    <sheet name="Par Levels" sheetId="5" state="visible" r:id="rId7"/>
    <sheet name="Restock Log" sheetId="6" state="visible" r:id="rId8"/>
    <sheet name="Repair &amp; Photo No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<sst xmlns="http://schemas.openxmlformats.org/spreadsheetml/2006/main" count="414" uniqueCount="208">
  <si>
    <t xml:space="preserve">Howell Family Properties — Restock &amp; Inventory Data Model</t>
  </si>
  <si>
    <t xml:space="preserve">Working prototype of the data structure behind the restocking app</t>
  </si>
  <si>
    <t xml:space="preserve">What this is</t>
  </si>
  <si>
    <t xml:space="preserve">This workbook mirrors the database tables the real web app will use: Properties, Item Catalog, Par Levels, Restock Log, and Repair &amp; Photo Notes. The Dashboard tab is auto-calculated from the other tabs, the same way the app's dashboard will work — nothing on it is typed in by hand.</t>
  </si>
  <si>
    <t xml:space="preserve">How to use it now</t>
  </si>
  <si>
    <t xml:space="preserve">Fill in your actual 60+ properties on the Properties tab (8 sample rows are there as a format guide). Do the same for your real item list and vendors on Item Catalog. Par Levels tells the system how much of each item belongs at each property. Restock Log is what your crew would log after every visit — in the real app this is the screen they use on their phone. Dashboard then tells you what's overdue, what's urgent, and what needs reordering, automatically.</t>
  </si>
  <si>
    <t xml:space="preserve">Color legend</t>
  </si>
  <si>
    <t xml:space="preserve">   Blue text</t>
  </si>
  <si>
    <t xml:space="preserve">Editable input — safe to type over.</t>
  </si>
  <si>
    <t xml:space="preserve">   Black text</t>
  </si>
  <si>
    <t xml:space="preserve">Formula — pulls from another tab, don't overwrite.</t>
  </si>
  <si>
    <t xml:space="preserve">   Yellow fill</t>
  </si>
  <si>
    <t xml:space="preserve">Key fields to fill in first when adding a new property or item.</t>
  </si>
  <si>
    <t xml:space="preserve">Tabs</t>
  </si>
  <si>
    <t xml:space="preserve">   Properties</t>
  </si>
  <si>
    <t xml:space="preserve">One row per property: address, type, cleaning team, restock cadence, and the live 'urgent restock requested' flag — this is the field the one-tap crew button will set in the real app.</t>
  </si>
  <si>
    <t xml:space="preserve">   Item Catalog</t>
  </si>
  <si>
    <t xml:space="preserve">Every stockable item, its central warehouse quantity, and the reorder threshold/quantity. 'Needs Reorder?' calculates itself.</t>
  </si>
  <si>
    <t xml:space="preserve">   Par Levels</t>
  </si>
  <si>
    <t xml:space="preserve">The target quantity of each item that belongs at each property — the 'stocked to' amount.</t>
  </si>
  <si>
    <t xml:space="preserve">   Restock Log</t>
  </si>
  <si>
    <t xml:space="preserve">Every restock event: what was dropped off, where, when, by whom, and whether it was an urgent/early visit.</t>
  </si>
  <si>
    <t xml:space="preserve">   Repair &amp; Photo Notes</t>
  </si>
  <si>
    <t xml:space="preserve">Field notes and photo references tied to a property — for repairs or restock issues, separate from routine restocking.</t>
  </si>
  <si>
    <t xml:space="preserve">   Dashboard</t>
  </si>
  <si>
    <t xml:space="preserve">Auto-calculated: last restock date, next due date, days until due, and a status (URGENT / OVERDUE / DUE SOON / OK) per property, plus portfolio-wide summary counts.</t>
  </si>
  <si>
    <t xml:space="preserve">Next step</t>
  </si>
  <si>
    <t xml:space="preserve">Once this structure is validated against how you actually operate, it becomes the schema for the real web app — same tables, same fields, but with logins, phone-camera upload, push alerts, and auto-scheduling instead of manual spreadsheet entry.</t>
  </si>
  <si>
    <t xml:space="preserve">Restock Dashboard</t>
  </si>
  <si>
    <t xml:space="preserve">Everything below is calculated from Properties, Item Catalog, Par Levels, and Restock Log — nothing here is typed in.</t>
  </si>
  <si>
    <t xml:space="preserve">Portfolio Summary</t>
  </si>
  <si>
    <t xml:space="preserve">Total Active Properties</t>
  </si>
  <si>
    <t xml:space="preserve">Urgent Restock Requests</t>
  </si>
  <si>
    <t xml:space="preserve">Properties Overdue</t>
  </si>
  <si>
    <t xml:space="preserve">Properties Due Soon (&lt;=7 days)</t>
  </si>
  <si>
    <t xml:space="preserve">Items Needing Reorder</t>
  </si>
  <si>
    <t xml:space="preserve">Property ID</t>
  </si>
  <si>
    <t xml:space="preserve">Property Name</t>
  </si>
  <si>
    <t xml:space="preserve">Type</t>
  </si>
  <si>
    <t xml:space="preserve">Restock Frequency (Days)</t>
  </si>
  <si>
    <t xml:space="preserve">Last Restock Date</t>
  </si>
  <si>
    <t xml:space="preserve">Next Restock Due</t>
  </si>
  <si>
    <t xml:space="preserve">Days Until Due</t>
  </si>
  <si>
    <t xml:space="preserve">Urgent Requested?</t>
  </si>
  <si>
    <t xml:space="preserve">Status</t>
  </si>
  <si>
    <t xml:space="preserve">Property Name / Address</t>
  </si>
  <si>
    <t xml:space="preserve">Unit Count</t>
  </si>
  <si>
    <t xml:space="preserve">Assigned Cleaning Team</t>
  </si>
  <si>
    <t xml:space="preserve">Urgent Restock Requested?</t>
  </si>
  <si>
    <t xml:space="preserve">Active?</t>
  </si>
  <si>
    <t xml:space="preserve">Hostaway Listing ID</t>
  </si>
  <si>
    <t xml:space="preserve">Source</t>
  </si>
  <si>
    <t xml:space="preserve">P001</t>
  </si>
  <si>
    <t xml:space="preserve">4521 NW 12th St Unit A, Oklahoma City, OK</t>
  </si>
  <si>
    <t xml:space="preserve">STR</t>
  </si>
  <si>
    <t xml:space="preserve">Maria's Crew</t>
  </si>
  <si>
    <t xml:space="preserve">N</t>
  </si>
  <si>
    <t xml:space="preserve">Y</t>
  </si>
  <si>
    <t xml:space="preserve">Manual</t>
  </si>
  <si>
    <t xml:space="preserve">P002</t>
  </si>
  <si>
    <t xml:space="preserve">4523 NW 12th St Unit B, Oklahoma City, OK</t>
  </si>
  <si>
    <t xml:space="preserve">P003</t>
  </si>
  <si>
    <t xml:space="preserve">4525 NW 12th St Unit C, Oklahoma City, OK</t>
  </si>
  <si>
    <t xml:space="preserve">P004</t>
  </si>
  <si>
    <t xml:space="preserve">4527 NW 12th St Unit D, Oklahoma City, OK</t>
  </si>
  <si>
    <t xml:space="preserve">P005</t>
  </si>
  <si>
    <t xml:space="preserve">1892 SE Grand Blvd, Oklahoma City, OK</t>
  </si>
  <si>
    <t xml:space="preserve">LTR</t>
  </si>
  <si>
    <t xml:space="preserve">Carlos's Crew</t>
  </si>
  <si>
    <t xml:space="preserve">P006</t>
  </si>
  <si>
    <t xml:space="preserve">1140 SW 44th St, Oklahoma City, OK</t>
  </si>
  <si>
    <t xml:space="preserve">P007</t>
  </si>
  <si>
    <t xml:space="preserve">215 Douglas Blvd Unit A, Oklahoma City, OK 73117</t>
  </si>
  <si>
    <t xml:space="preserve">HUD-VASH</t>
  </si>
  <si>
    <t xml:space="preserve">James's Crew</t>
  </si>
  <si>
    <t xml:space="preserve">P008</t>
  </si>
  <si>
    <t xml:space="preserve">215 Douglas Blvd Unit B, Oklahoma City, OK 73117</t>
  </si>
  <si>
    <t xml:space="preserve">Item ID</t>
  </si>
  <si>
    <t xml:space="preserve">Item Name</t>
  </si>
  <si>
    <t xml:space="preserve">Category</t>
  </si>
  <si>
    <t xml:space="preserve">Unit of Measure</t>
  </si>
  <si>
    <t xml:space="preserve">Central Stock Qty</t>
  </si>
  <si>
    <t xml:space="preserve">Reorder Threshold</t>
  </si>
  <si>
    <t xml:space="preserve">Reorder Qty</t>
  </si>
  <si>
    <t xml:space="preserve">Preferred Vendor</t>
  </si>
  <si>
    <t xml:space="preserve">Unit Cost</t>
  </si>
  <si>
    <t xml:space="preserve">Needs Reorder?</t>
  </si>
  <si>
    <t xml:space="preserve">I001</t>
  </si>
  <si>
    <t xml:space="preserve">Toilet Paper (4pk)</t>
  </si>
  <si>
    <t xml:space="preserve">Toiletries</t>
  </si>
  <si>
    <t xml:space="preserve">roll</t>
  </si>
  <si>
    <t xml:space="preserve">Amazon Business</t>
  </si>
  <si>
    <t xml:space="preserve">I002</t>
  </si>
  <si>
    <t xml:space="preserve">Paper Towels</t>
  </si>
  <si>
    <t xml:space="preserve">Paper Goods</t>
  </si>
  <si>
    <t xml:space="preserve">I003</t>
  </si>
  <si>
    <t xml:space="preserve">Hand Soap</t>
  </si>
  <si>
    <t xml:space="preserve">bottle</t>
  </si>
  <si>
    <t xml:space="preserve">I004</t>
  </si>
  <si>
    <t xml:space="preserve">Dish Soap</t>
  </si>
  <si>
    <t xml:space="preserve">Kitchen</t>
  </si>
  <si>
    <t xml:space="preserve">I005</t>
  </si>
  <si>
    <t xml:space="preserve">Trash Bags</t>
  </si>
  <si>
    <t xml:space="preserve">Cleaning Supplies</t>
  </si>
  <si>
    <t xml:space="preserve">box</t>
  </si>
  <si>
    <t xml:space="preserve">Direct Textile Store</t>
  </si>
  <si>
    <t xml:space="preserve">I006</t>
  </si>
  <si>
    <t xml:space="preserve">Laundry Pods</t>
  </si>
  <si>
    <t xml:space="preserve">I007</t>
  </si>
  <si>
    <t xml:space="preserve">Coffee Pods</t>
  </si>
  <si>
    <t xml:space="preserve">I008</t>
  </si>
  <si>
    <t xml:space="preserve">Dishwasher Pods</t>
  </si>
  <si>
    <t xml:space="preserve">I009</t>
  </si>
  <si>
    <t xml:space="preserve">LED Light Bulb</t>
  </si>
  <si>
    <t xml:space="preserve">Maintenance</t>
  </si>
  <si>
    <t xml:space="preserve">each</t>
  </si>
  <si>
    <t xml:space="preserve">Home Depot Pro</t>
  </si>
  <si>
    <t xml:space="preserve">I010</t>
  </si>
  <si>
    <t xml:space="preserve">AA Batteries (4pk)</t>
  </si>
  <si>
    <t xml:space="preserve">I011</t>
  </si>
  <si>
    <t xml:space="preserve">HVAC Air Filter 16x20</t>
  </si>
  <si>
    <t xml:space="preserve">I012</t>
  </si>
  <si>
    <t xml:space="preserve">Welcome Toiletry Kit</t>
  </si>
  <si>
    <t xml:space="preserve">WGV International</t>
  </si>
  <si>
    <t xml:space="preserve">Row ID</t>
  </si>
  <si>
    <t xml:space="preserve">Target Qty (Par Level)</t>
  </si>
  <si>
    <t xml:space="preserve">PL001</t>
  </si>
  <si>
    <t xml:space="preserve">PL002</t>
  </si>
  <si>
    <t xml:space="preserve">PL003</t>
  </si>
  <si>
    <t xml:space="preserve">PL004</t>
  </si>
  <si>
    <t xml:space="preserve">PL005</t>
  </si>
  <si>
    <t xml:space="preserve">PL006</t>
  </si>
  <si>
    <t xml:space="preserve">PL007</t>
  </si>
  <si>
    <t xml:space="preserve">PL008</t>
  </si>
  <si>
    <t xml:space="preserve">PL009</t>
  </si>
  <si>
    <t xml:space="preserve">PL010</t>
  </si>
  <si>
    <t xml:space="preserve">PL011</t>
  </si>
  <si>
    <t xml:space="preserve">PL012</t>
  </si>
  <si>
    <t xml:space="preserve">PL013</t>
  </si>
  <si>
    <t xml:space="preserve">PL014</t>
  </si>
  <si>
    <t xml:space="preserve">PL015</t>
  </si>
  <si>
    <t xml:space="preserve">PL016</t>
  </si>
  <si>
    <t xml:space="preserve">PL017</t>
  </si>
  <si>
    <t xml:space="preserve">PL018</t>
  </si>
  <si>
    <t xml:space="preserve">PL019</t>
  </si>
  <si>
    <t xml:space="preserve">PL020</t>
  </si>
  <si>
    <t xml:space="preserve">PL021</t>
  </si>
  <si>
    <t xml:space="preserve">PL022</t>
  </si>
  <si>
    <t xml:space="preserve">PL023</t>
  </si>
  <si>
    <t xml:space="preserve">PL024</t>
  </si>
  <si>
    <t xml:space="preserve">PL025</t>
  </si>
  <si>
    <t xml:space="preserve">PL026</t>
  </si>
  <si>
    <t xml:space="preserve">PL027</t>
  </si>
  <si>
    <t xml:space="preserve">PL028</t>
  </si>
  <si>
    <t xml:space="preserve">Restock ID</t>
  </si>
  <si>
    <t xml:space="preserve">Date</t>
  </si>
  <si>
    <t xml:space="preserve">Qty Delivered</t>
  </si>
  <si>
    <t xml:space="preserve">Logged By</t>
  </si>
  <si>
    <t xml:space="preserve">Urgent Flag?</t>
  </si>
  <si>
    <t xml:space="preserve">Notes</t>
  </si>
  <si>
    <t xml:space="preserve">R001</t>
  </si>
  <si>
    <t xml:space="preserve">Maria</t>
  </si>
  <si>
    <t xml:space="preserve">Routine turnover restock</t>
  </si>
  <si>
    <t xml:space="preserve">R002</t>
  </si>
  <si>
    <t xml:space="preserve">R003</t>
  </si>
  <si>
    <t xml:space="preserve">Carlos</t>
  </si>
  <si>
    <t xml:space="preserve">R004</t>
  </si>
  <si>
    <t xml:space="preserve">R005</t>
  </si>
  <si>
    <t xml:space="preserve">Guest reported empty toiletry bin - flagged urgent</t>
  </si>
  <si>
    <t xml:space="preserve">R006</t>
  </si>
  <si>
    <t xml:space="preserve">R007</t>
  </si>
  <si>
    <t xml:space="preserve">R008</t>
  </si>
  <si>
    <t xml:space="preserve">R009</t>
  </si>
  <si>
    <t xml:space="preserve">R010</t>
  </si>
  <si>
    <t xml:space="preserve">James</t>
  </si>
  <si>
    <t xml:space="preserve">Replaced bulbs at lease start</t>
  </si>
  <si>
    <t xml:space="preserve">R011</t>
  </si>
  <si>
    <t xml:space="preserve">New HVAC filter</t>
  </si>
  <si>
    <t xml:space="preserve">R012</t>
  </si>
  <si>
    <t xml:space="preserve">Routine maintenance visit</t>
  </si>
  <si>
    <t xml:space="preserve">R013</t>
  </si>
  <si>
    <t xml:space="preserve">R014</t>
  </si>
  <si>
    <t xml:space="preserve">R015</t>
  </si>
  <si>
    <t xml:space="preserve">Note ID</t>
  </si>
  <si>
    <t xml:space="preserve">Description</t>
  </si>
  <si>
    <t xml:space="preserve">Photo Filename / Link</t>
  </si>
  <si>
    <t xml:space="preserve">N001</t>
  </si>
  <si>
    <t xml:space="preserve">Repair</t>
  </si>
  <si>
    <t xml:space="preserve">Leaking faucet in kitchen</t>
  </si>
  <si>
    <t xml:space="preserve">photo_p001_faucet.jpg</t>
  </si>
  <si>
    <t xml:space="preserve">Open</t>
  </si>
  <si>
    <t xml:space="preserve">N002</t>
  </si>
  <si>
    <t xml:space="preserve">Restock Issue</t>
  </si>
  <si>
    <t xml:space="preserve">Guest used all toiletries by day 2 of stay</t>
  </si>
  <si>
    <t xml:space="preserve">photo_p003_toiletries.jpg</t>
  </si>
  <si>
    <t xml:space="preserve">Resolved</t>
  </si>
  <si>
    <t xml:space="preserve">N003</t>
  </si>
  <si>
    <t xml:space="preserve">General</t>
  </si>
  <si>
    <t xml:space="preserve">Tenant requested replacement mailbox key</t>
  </si>
  <si>
    <t xml:space="preserve">N004</t>
  </si>
  <si>
    <t xml:space="preserve">HVAC filter housing cracked; filter replaced, housing taped temporarily</t>
  </si>
  <si>
    <t xml:space="preserve">photo_p006_hvac.jpg</t>
  </si>
  <si>
    <t xml:space="preserve">N005</t>
  </si>
  <si>
    <t xml:space="preserve">Guest complaint re: empty toiletries, urgent restock requested</t>
  </si>
  <si>
    <t xml:space="preserve">photo_p002_toiletries.jpg</t>
  </si>
  <si>
    <t xml:space="preserve">N006</t>
  </si>
  <si>
    <t xml:space="preserve">Screen door hinge broken</t>
  </si>
  <si>
    <t xml:space="preserve">photo_p007_screendoor.jpg</t>
  </si>
</sst>
</file>

<file path=xl/styles.xml><?xml version="1.0" encoding="utf-8"?>
<styleSheet xmlns="http://schemas.openxmlformats.org/spreadsheetml/2006/main">
  <numFmts count="4">
    <numFmt numFmtId="164" formatCode="General"/>
    <numFmt numFmtId="165" formatCode="General"/>
    <numFmt numFmtId="166" formatCode="mm/dd/yyyy"/>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sz val="11"/>
      <name val="Arial"/>
      <family val="0"/>
      <charset val="1"/>
    </font>
    <font>
      <sz val="11"/>
      <color rgb="FF000000"/>
      <name val="Arial"/>
      <family val="0"/>
      <charset val="1"/>
    </font>
    <font>
      <b val="true"/>
      <sz val="11"/>
      <name val="Arial"/>
      <family val="0"/>
      <charset val="1"/>
    </font>
    <font>
      <sz val="11"/>
      <color rgb="FF0000FF"/>
      <name val="Arial"/>
      <family val="0"/>
      <charset val="1"/>
    </font>
    <font>
      <b val="true"/>
      <sz val="12"/>
      <color rgb="FF1F4E78"/>
      <name val="Arial"/>
      <family val="0"/>
      <charset val="1"/>
    </font>
    <font>
      <b val="true"/>
      <sz val="11"/>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1F4E78"/>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1"/>
        <color rgb="FFFFFFFF"/>
      </font>
      <fill>
        <patternFill>
          <bgColor rgb="FFFF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0"/>
  </cols>
  <sheetData>
    <row r="1" customFormat="false" ht="19.7" hidden="false" customHeight="false" outlineLevel="0" collapsed="false">
      <c r="A1" s="1" t="s">
        <v>0</v>
      </c>
      <c r="B1" s="1"/>
    </row>
    <row r="2" customFormat="false" ht="15" hidden="false" customHeight="false" outlineLevel="0" collapsed="false">
      <c r="A2" s="2" t="s">
        <v>1</v>
      </c>
      <c r="B2" s="2"/>
    </row>
    <row r="4" customFormat="false" ht="7.5" hidden="false" customHeight="true" outlineLevel="0" collapsed="false">
      <c r="A4" s="3"/>
      <c r="B4" s="4"/>
    </row>
    <row r="5" customFormat="false" ht="30" hidden="false" customHeight="true" outlineLevel="0" collapsed="false">
      <c r="A5" s="5" t="s">
        <v>2</v>
      </c>
      <c r="B5" s="4" t="s">
        <v>3</v>
      </c>
    </row>
    <row r="6" customFormat="false" ht="30" hidden="false" customHeight="true" outlineLevel="0" collapsed="false">
      <c r="A6" s="5" t="s">
        <v>4</v>
      </c>
      <c r="B6" s="4" t="s">
        <v>5</v>
      </c>
    </row>
    <row r="7" customFormat="false" ht="7.5" hidden="false" customHeight="true" outlineLevel="0" collapsed="false">
      <c r="A7" s="5" t="s">
        <v>6</v>
      </c>
      <c r="B7" s="4"/>
    </row>
    <row r="8" customFormat="false" ht="30" hidden="false" customHeight="true" outlineLevel="0" collapsed="false">
      <c r="A8" s="3" t="s">
        <v>7</v>
      </c>
      <c r="B8" s="4" t="s">
        <v>8</v>
      </c>
    </row>
    <row r="9" customFormat="false" ht="30" hidden="false" customHeight="true" outlineLevel="0" collapsed="false">
      <c r="A9" s="6" t="s">
        <v>9</v>
      </c>
      <c r="B9" s="4" t="s">
        <v>10</v>
      </c>
    </row>
    <row r="10" customFormat="false" ht="30" hidden="false" customHeight="true" outlineLevel="0" collapsed="false">
      <c r="A10" s="7" t="s">
        <v>11</v>
      </c>
      <c r="B10" s="4" t="s">
        <v>12</v>
      </c>
    </row>
    <row r="11" customFormat="false" ht="7.5" hidden="false" customHeight="true" outlineLevel="0" collapsed="false">
      <c r="A11" s="5" t="s">
        <v>13</v>
      </c>
      <c r="B11" s="4"/>
    </row>
    <row r="12" customFormat="false" ht="30" hidden="false" customHeight="true" outlineLevel="0" collapsed="false">
      <c r="A12" s="3" t="s">
        <v>14</v>
      </c>
      <c r="B12" s="4" t="s">
        <v>15</v>
      </c>
    </row>
    <row r="13" customFormat="false" ht="30" hidden="false" customHeight="true" outlineLevel="0" collapsed="false">
      <c r="A13" s="3" t="s">
        <v>16</v>
      </c>
      <c r="B13" s="4" t="s">
        <v>17</v>
      </c>
    </row>
    <row r="14" customFormat="false" ht="30" hidden="false" customHeight="true" outlineLevel="0" collapsed="false">
      <c r="A14" s="3" t="s">
        <v>18</v>
      </c>
      <c r="B14" s="4" t="s">
        <v>19</v>
      </c>
    </row>
    <row r="15" customFormat="false" ht="30" hidden="false" customHeight="true" outlineLevel="0" collapsed="false">
      <c r="A15" s="3" t="s">
        <v>20</v>
      </c>
      <c r="B15" s="4" t="s">
        <v>21</v>
      </c>
    </row>
    <row r="16" customFormat="false" ht="30" hidden="false" customHeight="true" outlineLevel="0" collapsed="false">
      <c r="A16" s="3" t="s">
        <v>22</v>
      </c>
      <c r="B16" s="4" t="s">
        <v>23</v>
      </c>
    </row>
    <row r="17" customFormat="false" ht="30" hidden="false" customHeight="true" outlineLevel="0" collapsed="false">
      <c r="A17" s="3" t="s">
        <v>24</v>
      </c>
      <c r="B17" s="4" t="s">
        <v>25</v>
      </c>
    </row>
    <row r="18" customFormat="false" ht="30" hidden="false" customHeight="true" outlineLevel="0" collapsed="false">
      <c r="A18" s="5" t="s">
        <v>26</v>
      </c>
      <c r="B18" s="4" t="s">
        <v>27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12"/>
    <col collapsed="false" customWidth="true" hidden="false" outlineLevel="0" max="6" min="5" style="0" width="14"/>
    <col collapsed="false" customWidth="true" hidden="false" outlineLevel="0" max="8" min="7" style="0" width="12"/>
    <col collapsed="false" customWidth="true" hidden="false" outlineLevel="0" max="9" min="9" style="0" width="14"/>
  </cols>
  <sheetData>
    <row r="1" customFormat="false" ht="19.7" hidden="false" customHeight="false" outlineLevel="0" collapsed="false">
      <c r="A1" s="1" t="s">
        <v>28</v>
      </c>
      <c r="B1" s="1"/>
      <c r="C1" s="1"/>
      <c r="D1" s="1"/>
      <c r="E1" s="1"/>
      <c r="F1" s="1"/>
      <c r="G1" s="1"/>
      <c r="H1" s="1"/>
      <c r="I1" s="1"/>
    </row>
    <row r="2" customFormat="false" ht="15" hidden="false" customHeight="false" outlineLevel="0" collapsed="false">
      <c r="A2" s="2" t="s">
        <v>29</v>
      </c>
      <c r="B2" s="2"/>
      <c r="C2" s="2"/>
      <c r="D2" s="2"/>
      <c r="E2" s="2"/>
      <c r="F2" s="2"/>
      <c r="G2" s="2"/>
      <c r="H2" s="2"/>
      <c r="I2" s="2"/>
    </row>
    <row r="4" customFormat="false" ht="15" hidden="false" customHeight="false" outlineLevel="0" collapsed="false">
      <c r="A4" s="8" t="s">
        <v>30</v>
      </c>
    </row>
    <row r="5" customFormat="false" ht="15" hidden="false" customHeight="false" outlineLevel="0" collapsed="false">
      <c r="A5" s="9" t="s">
        <v>31</v>
      </c>
      <c r="B5" s="10" t="n">
        <f aca="false">COUNTIF(Properties!H2:H101,"Y")</f>
        <v>8</v>
      </c>
    </row>
    <row r="6" customFormat="false" ht="15" hidden="false" customHeight="false" outlineLevel="0" collapsed="false">
      <c r="A6" s="9" t="s">
        <v>32</v>
      </c>
      <c r="B6" s="10" t="n">
        <f aca="false">COUNTIF(Properties!G2:G101,"Y")</f>
        <v>1</v>
      </c>
    </row>
    <row r="7" customFormat="false" ht="15" hidden="false" customHeight="false" outlineLevel="0" collapsed="false">
      <c r="A7" s="9" t="s">
        <v>33</v>
      </c>
      <c r="B7" s="10" t="n">
        <f aca="false">COUNTIF(I11:I110,"OVERDUE")</f>
        <v>2</v>
      </c>
    </row>
    <row r="8" customFormat="false" ht="15" hidden="false" customHeight="false" outlineLevel="0" collapsed="false">
      <c r="A8" s="9" t="s">
        <v>34</v>
      </c>
      <c r="B8" s="10" t="n">
        <f aca="false">COUNTIF(I11:I110,"DUE SOON")</f>
        <v>1</v>
      </c>
    </row>
    <row r="9" customFormat="false" ht="15" hidden="false" customHeight="false" outlineLevel="0" collapsed="false">
      <c r="A9" s="9" t="s">
        <v>35</v>
      </c>
      <c r="B9" s="10" t="n">
        <f aca="false">COUNTIF('Item Catalog'!J2:J200,"YES")</f>
        <v>1</v>
      </c>
    </row>
    <row r="10" customFormat="false" ht="31.5" hidden="false" customHeight="true" outlineLevel="0" collapsed="false">
      <c r="A10" s="11" t="s">
        <v>36</v>
      </c>
      <c r="B10" s="11" t="s">
        <v>37</v>
      </c>
      <c r="C10" s="11" t="s">
        <v>38</v>
      </c>
      <c r="D10" s="11" t="s">
        <v>39</v>
      </c>
      <c r="E10" s="11" t="s">
        <v>40</v>
      </c>
      <c r="F10" s="11" t="s">
        <v>41</v>
      </c>
      <c r="G10" s="11" t="s">
        <v>42</v>
      </c>
      <c r="H10" s="11" t="s">
        <v>43</v>
      </c>
      <c r="I10" s="11" t="s">
        <v>44</v>
      </c>
    </row>
    <row r="11" customFormat="false" ht="15" hidden="false" customHeight="false" outlineLevel="0" collapsed="false">
      <c r="A11" s="12" t="str">
        <f aca="false">IF(Properties!A2="","",Properties!A2)</f>
        <v>P001</v>
      </c>
      <c r="B11" s="12" t="str">
        <f aca="false">IF($A11="","",Properties!B2)</f>
        <v>4521 NW 12th St Unit A, Oklahoma City, OK</v>
      </c>
      <c r="C11" s="12" t="str">
        <f aca="false">IF($A11="","",Properties!C2)</f>
        <v>STR</v>
      </c>
      <c r="D11" s="12" t="n">
        <f aca="false">IF($A11="","",Properties!F2)</f>
        <v>14</v>
      </c>
      <c r="E11" s="13" t="n">
        <f aca="false">IF($A11="","",IFERROR(IF(_xlfn.MAXIFS('Restock Log'!$D:$D,'Restock Log'!$B:$B,A11)=0,"None",_xlfn.MAXIFS('Restock Log'!$D:$D,'Restock Log'!$B:$B,A11)),"None"))</f>
        <v>46264</v>
      </c>
      <c r="F11" s="13" t="n">
        <f aca="false">IF($A11="","",IF(E11="None","",E11+D11))</f>
        <v>46278</v>
      </c>
      <c r="G11" s="14" t="n">
        <f aca="true">IF($A11="","",IF(F11="","",F11-TODAY()))</f>
        <v>4</v>
      </c>
      <c r="H11" s="14" t="str">
        <f aca="false">IF($A11="","",Properties!G2)</f>
        <v>N</v>
      </c>
      <c r="I11" s="15" t="str">
        <f aca="false">IF($A11="","",IF(H11="Y","URGENT",IF(E11="None","NOT SET",IF(G11&lt;0,"OVERDUE",IF(G11&lt;=7,"DUE SOON","OK")))))</f>
        <v>DUE SOON</v>
      </c>
    </row>
    <row r="12" customFormat="false" ht="15" hidden="false" customHeight="false" outlineLevel="0" collapsed="false">
      <c r="A12" s="12" t="str">
        <f aca="false">IF(Properties!A3="","",Properties!A3)</f>
        <v>P002</v>
      </c>
      <c r="B12" s="12" t="str">
        <f aca="false">IF($A12="","",Properties!B3)</f>
        <v>4523 NW 12th St Unit B, Oklahoma City, OK</v>
      </c>
      <c r="C12" s="12" t="str">
        <f aca="false">IF($A12="","",Properties!C3)</f>
        <v>STR</v>
      </c>
      <c r="D12" s="12" t="n">
        <f aca="false">IF($A12="","",Properties!F3)</f>
        <v>14</v>
      </c>
      <c r="E12" s="13" t="n">
        <f aca="false">IF($A12="","",IFERROR(IF(_xlfn.MAXIFS('Restock Log'!$D:$D,'Restock Log'!$B:$B,A12)=0,"None",_xlfn.MAXIFS('Restock Log'!$D:$D,'Restock Log'!$B:$B,A12)),"None"))</f>
        <v>46266</v>
      </c>
      <c r="F12" s="13" t="n">
        <f aca="false">IF($A12="","",IF(E12="None","",E12+D12))</f>
        <v>46280</v>
      </c>
      <c r="G12" s="14" t="n">
        <f aca="true">IF($A12="","",IF(F12="","",F12-TODAY()))</f>
        <v>6</v>
      </c>
      <c r="H12" s="14" t="str">
        <f aca="false">IF($A12="","",Properties!G3)</f>
        <v>Y</v>
      </c>
      <c r="I12" s="15" t="str">
        <f aca="false">IF($A12="","",IF(H12="Y","URGENT",IF(E12="None","NOT SET",IF(G12&lt;0,"OVERDUE",IF(G12&lt;=7,"DUE SOON","OK")))))</f>
        <v>URGENT</v>
      </c>
    </row>
    <row r="13" customFormat="false" ht="15" hidden="false" customHeight="false" outlineLevel="0" collapsed="false">
      <c r="A13" s="12" t="str">
        <f aca="false">IF(Properties!A4="","",Properties!A4)</f>
        <v>P003</v>
      </c>
      <c r="B13" s="12" t="str">
        <f aca="false">IF($A13="","",Properties!B4)</f>
        <v>4525 NW 12th St Unit C, Oklahoma City, OK</v>
      </c>
      <c r="C13" s="12" t="str">
        <f aca="false">IF($A13="","",Properties!C4)</f>
        <v>STR</v>
      </c>
      <c r="D13" s="12" t="n">
        <f aca="false">IF($A13="","",Properties!F4)</f>
        <v>14</v>
      </c>
      <c r="E13" s="13" t="n">
        <f aca="false">IF($A13="","",IFERROR(IF(_xlfn.MAXIFS('Restock Log'!$D:$D,'Restock Log'!$B:$B,A13)=0,"None",_xlfn.MAXIFS('Restock Log'!$D:$D,'Restock Log'!$B:$B,A13)),"None"))</f>
        <v>46249</v>
      </c>
      <c r="F13" s="13" t="n">
        <f aca="false">IF($A13="","",IF(E13="None","",E13+D13))</f>
        <v>46263</v>
      </c>
      <c r="G13" s="14" t="n">
        <f aca="true">IF($A13="","",IF(F13="","",F13-TODAY()))</f>
        <v>-11</v>
      </c>
      <c r="H13" s="14" t="str">
        <f aca="false">IF($A13="","",Properties!G4)</f>
        <v>N</v>
      </c>
      <c r="I13" s="15" t="str">
        <f aca="false">IF($A13="","",IF(H13="Y","URGENT",IF(E13="None","NOT SET",IF(G13&lt;0,"OVERDUE",IF(G13&lt;=7,"DUE SOON","OK")))))</f>
        <v>OVERDUE</v>
      </c>
    </row>
    <row r="14" customFormat="false" ht="15" hidden="false" customHeight="false" outlineLevel="0" collapsed="false">
      <c r="A14" s="12" t="str">
        <f aca="false">IF(Properties!A5="","",Properties!A5)</f>
        <v>P004</v>
      </c>
      <c r="B14" s="12" t="str">
        <f aca="false">IF($A14="","",Properties!B5)</f>
        <v>4527 NW 12th St Unit D, Oklahoma City, OK</v>
      </c>
      <c r="C14" s="12" t="str">
        <f aca="false">IF($A14="","",Properties!C5)</f>
        <v>STR</v>
      </c>
      <c r="D14" s="12" t="n">
        <f aca="false">IF($A14="","",Properties!F5)</f>
        <v>14</v>
      </c>
      <c r="E14" s="13" t="n">
        <f aca="false">IF($A14="","",IFERROR(IF(_xlfn.MAXIFS('Restock Log'!$D:$D,'Restock Log'!$B:$B,A14)=0,"None",_xlfn.MAXIFS('Restock Log'!$D:$D,'Restock Log'!$B:$B,A14)),"None"))</f>
        <v>46270</v>
      </c>
      <c r="F14" s="13" t="n">
        <f aca="false">IF($A14="","",IF(E14="None","",E14+D14))</f>
        <v>46284</v>
      </c>
      <c r="G14" s="14" t="n">
        <f aca="true">IF($A14="","",IF(F14="","",F14-TODAY()))</f>
        <v>10</v>
      </c>
      <c r="H14" s="14" t="str">
        <f aca="false">IF($A14="","",Properties!G5)</f>
        <v>N</v>
      </c>
      <c r="I14" s="15" t="str">
        <f aca="false">IF($A14="","",IF(H14="Y","URGENT",IF(E14="None","NOT SET",IF(G14&lt;0,"OVERDUE",IF(G14&lt;=7,"DUE SOON","OK")))))</f>
        <v>OK</v>
      </c>
    </row>
    <row r="15" customFormat="false" ht="15" hidden="false" customHeight="false" outlineLevel="0" collapsed="false">
      <c r="A15" s="12" t="str">
        <f aca="false">IF(Properties!A6="","",Properties!A6)</f>
        <v>P005</v>
      </c>
      <c r="B15" s="12" t="str">
        <f aca="false">IF($A15="","",Properties!B6)</f>
        <v>1892 SE Grand Blvd, Oklahoma City, OK</v>
      </c>
      <c r="C15" s="12" t="str">
        <f aca="false">IF($A15="","",Properties!C6)</f>
        <v>LTR</v>
      </c>
      <c r="D15" s="12" t="n">
        <f aca="false">IF($A15="","",Properties!F6)</f>
        <v>90</v>
      </c>
      <c r="E15" s="13" t="n">
        <f aca="false">IF($A15="","",IFERROR(IF(_xlfn.MAXIFS('Restock Log'!$D:$D,'Restock Log'!$B:$B,A15)=0,"None",_xlfn.MAXIFS('Restock Log'!$D:$D,'Restock Log'!$B:$B,A15)),"None"))</f>
        <v>46174</v>
      </c>
      <c r="F15" s="13" t="n">
        <f aca="false">IF($A15="","",IF(E15="None","",E15+D15))</f>
        <v>46264</v>
      </c>
      <c r="G15" s="14" t="n">
        <f aca="true">IF($A15="","",IF(F15="","",F15-TODAY()))</f>
        <v>-10</v>
      </c>
      <c r="H15" s="14" t="str">
        <f aca="false">IF($A15="","",Properties!G6)</f>
        <v>N</v>
      </c>
      <c r="I15" s="15" t="str">
        <f aca="false">IF($A15="","",IF(H15="Y","URGENT",IF(E15="None","NOT SET",IF(G15&lt;0,"OVERDUE",IF(G15&lt;=7,"DUE SOON","OK")))))</f>
        <v>OVERDUE</v>
      </c>
    </row>
    <row r="16" customFormat="false" ht="15" hidden="false" customHeight="false" outlineLevel="0" collapsed="false">
      <c r="A16" s="12" t="str">
        <f aca="false">IF(Properties!A7="","",Properties!A7)</f>
        <v>P006</v>
      </c>
      <c r="B16" s="12" t="str">
        <f aca="false">IF($A16="","",Properties!B7)</f>
        <v>1140 SW 44th St, Oklahoma City, OK</v>
      </c>
      <c r="C16" s="12" t="str">
        <f aca="false">IF($A16="","",Properties!C7)</f>
        <v>LTR</v>
      </c>
      <c r="D16" s="12" t="n">
        <f aca="false">IF($A16="","",Properties!F7)</f>
        <v>90</v>
      </c>
      <c r="E16" s="13" t="n">
        <f aca="false">IF($A16="","",IFERROR(IF(_xlfn.MAXIFS('Restock Log'!$D:$D,'Restock Log'!$B:$B,A16)=0,"None",_xlfn.MAXIFS('Restock Log'!$D:$D,'Restock Log'!$B:$B,A16)),"None"))</f>
        <v>46218</v>
      </c>
      <c r="F16" s="13" t="n">
        <f aca="false">IF($A16="","",IF(E16="None","",E16+D16))</f>
        <v>46308</v>
      </c>
      <c r="G16" s="14" t="n">
        <f aca="true">IF($A16="","",IF(F16="","",F16-TODAY()))</f>
        <v>34</v>
      </c>
      <c r="H16" s="14" t="str">
        <f aca="false">IF($A16="","",Properties!G7)</f>
        <v>N</v>
      </c>
      <c r="I16" s="15" t="str">
        <f aca="false">IF($A16="","",IF(H16="Y","URGENT",IF(E16="None","NOT SET",IF(G16&lt;0,"OVERDUE",IF(G16&lt;=7,"DUE SOON","OK")))))</f>
        <v>OK</v>
      </c>
    </row>
    <row r="17" customFormat="false" ht="15" hidden="false" customHeight="false" outlineLevel="0" collapsed="false">
      <c r="A17" s="12" t="str">
        <f aca="false">IF(Properties!A8="","",Properties!A8)</f>
        <v>P007</v>
      </c>
      <c r="B17" s="12" t="str">
        <f aca="false">IF($A17="","",Properties!B8)</f>
        <v>215 Douglas Blvd Unit A, Oklahoma City, OK 73117</v>
      </c>
      <c r="C17" s="12" t="str">
        <f aca="false">IF($A17="","",Properties!C8)</f>
        <v>HUD-VASH</v>
      </c>
      <c r="D17" s="12" t="n">
        <f aca="false">IF($A17="","",Properties!F8)</f>
        <v>60</v>
      </c>
      <c r="E17" s="13" t="n">
        <f aca="false">IF($A17="","",IFERROR(IF(_xlfn.MAXIFS('Restock Log'!$D:$D,'Restock Log'!$B:$B,A17)=0,"None",_xlfn.MAXIFS('Restock Log'!$D:$D,'Restock Log'!$B:$B,A17)),"None"))</f>
        <v>46223</v>
      </c>
      <c r="F17" s="13" t="n">
        <f aca="false">IF($A17="","",IF(E17="None","",E17+D17))</f>
        <v>46283</v>
      </c>
      <c r="G17" s="14" t="n">
        <f aca="true">IF($A17="","",IF(F17="","",F17-TODAY()))</f>
        <v>9</v>
      </c>
      <c r="H17" s="14" t="str">
        <f aca="false">IF($A17="","",Properties!G8)</f>
        <v>N</v>
      </c>
      <c r="I17" s="15" t="str">
        <f aca="false">IF($A17="","",IF(H17="Y","URGENT",IF(E17="None","NOT SET",IF(G17&lt;0,"OVERDUE",IF(G17&lt;=7,"DUE SOON","OK")))))</f>
        <v>OK</v>
      </c>
    </row>
    <row r="18" customFormat="false" ht="15" hidden="false" customHeight="false" outlineLevel="0" collapsed="false">
      <c r="A18" s="12" t="str">
        <f aca="false">IF(Properties!A9="","",Properties!A9)</f>
        <v>P008</v>
      </c>
      <c r="B18" s="12" t="str">
        <f aca="false">IF($A18="","",Properties!B9)</f>
        <v>215 Douglas Blvd Unit B, Oklahoma City, OK 73117</v>
      </c>
      <c r="C18" s="12" t="str">
        <f aca="false">IF($A18="","",Properties!C9)</f>
        <v>HUD-VASH</v>
      </c>
      <c r="D18" s="12" t="n">
        <f aca="false">IF($A18="","",Properties!F9)</f>
        <v>60</v>
      </c>
      <c r="E18" s="13" t="n">
        <f aca="false">IF($A18="","",IFERROR(IF(_xlfn.MAXIFS('Restock Log'!$D:$D,'Restock Log'!$B:$B,A18)=0,"None",_xlfn.MAXIFS('Restock Log'!$D:$D,'Restock Log'!$B:$B,A18)),"None"))</f>
        <v>46239</v>
      </c>
      <c r="F18" s="13" t="n">
        <f aca="false">IF($A18="","",IF(E18="None","",E18+D18))</f>
        <v>46299</v>
      </c>
      <c r="G18" s="14" t="n">
        <f aca="true">IF($A18="","",IF(F18="","",F18-TODAY()))</f>
        <v>25</v>
      </c>
      <c r="H18" s="14" t="str">
        <f aca="false">IF($A18="","",Properties!G9)</f>
        <v>N</v>
      </c>
      <c r="I18" s="15" t="str">
        <f aca="false">IF($A18="","",IF(H18="Y","URGENT",IF(E18="None","NOT SET",IF(G18&lt;0,"OVERDUE",IF(G18&lt;=7,"DUE SOON","OK")))))</f>
        <v>OK</v>
      </c>
    </row>
    <row r="19" customFormat="false" ht="15" hidden="false" customHeight="false" outlineLevel="0" collapsed="false">
      <c r="A19" s="12" t="str">
        <f aca="false">IF(Properties!A10="","",Properties!A10)</f>
        <v/>
      </c>
      <c r="B19" s="12" t="str">
        <f aca="false">IF($A19="","",Properties!B10)</f>
        <v/>
      </c>
      <c r="C19" s="12" t="str">
        <f aca="false">IF($A19="","",Properties!C10)</f>
        <v/>
      </c>
      <c r="D19" s="12" t="str">
        <f aca="false">IF($A19="","",Properties!F10)</f>
        <v/>
      </c>
      <c r="E19" s="13" t="str">
        <f aca="false">IF($A19="","",IFERROR(IF(_xlfn.MAXIFS('Restock Log'!$D:$D,'Restock Log'!$B:$B,A19)=0,"None",_xlfn.MAXIFS('Restock Log'!$D:$D,'Restock Log'!$B:$B,A19)),"None"))</f>
        <v/>
      </c>
      <c r="F19" s="13" t="str">
        <f aca="false">IF($A19="","",IF(E19="None","",E19+D19))</f>
        <v/>
      </c>
      <c r="G19" s="14" t="str">
        <f aca="true">IF($A19="","",IF(F19="","",F19-TODAY()))</f>
        <v/>
      </c>
      <c r="H19" s="14" t="str">
        <f aca="false">IF($A19="","",Properties!G10)</f>
        <v/>
      </c>
      <c r="I19" s="15" t="str">
        <f aca="false">IF($A19="","",IF(H19="Y","URGENT",IF(E19="None","NOT SET",IF(G19&lt;0,"OVERDUE",IF(G19&lt;=7,"DUE SOON","OK")))))</f>
        <v/>
      </c>
    </row>
    <row r="20" customFormat="false" ht="15" hidden="false" customHeight="false" outlineLevel="0" collapsed="false">
      <c r="A20" s="12" t="str">
        <f aca="false">IF(Properties!A11="","",Properties!A11)</f>
        <v/>
      </c>
      <c r="B20" s="12" t="str">
        <f aca="false">IF($A20="","",Properties!B11)</f>
        <v/>
      </c>
      <c r="C20" s="12" t="str">
        <f aca="false">IF($A20="","",Properties!C11)</f>
        <v/>
      </c>
      <c r="D20" s="12" t="str">
        <f aca="false">IF($A20="","",Properties!F11)</f>
        <v/>
      </c>
      <c r="E20" s="13" t="str">
        <f aca="false">IF($A20="","",IFERROR(IF(_xlfn.MAXIFS('Restock Log'!$D:$D,'Restock Log'!$B:$B,A20)=0,"None",_xlfn.MAXIFS('Restock Log'!$D:$D,'Restock Log'!$B:$B,A20)),"None"))</f>
        <v/>
      </c>
      <c r="F20" s="13" t="str">
        <f aca="false">IF($A20="","",IF(E20="None","",E20+D20))</f>
        <v/>
      </c>
      <c r="G20" s="14" t="str">
        <f aca="true">IF($A20="","",IF(F20="","",F20-TODAY()))</f>
        <v/>
      </c>
      <c r="H20" s="14" t="str">
        <f aca="false">IF($A20="","",Properties!G11)</f>
        <v/>
      </c>
      <c r="I20" s="15" t="str">
        <f aca="false">IF($A20="","",IF(H20="Y","URGENT",IF(E20="None","NOT SET",IF(G20&lt;0,"OVERDUE",IF(G20&lt;=7,"DUE SOON","OK")))))</f>
        <v/>
      </c>
    </row>
    <row r="21" customFormat="false" ht="15" hidden="false" customHeight="false" outlineLevel="0" collapsed="false">
      <c r="A21" s="12" t="str">
        <f aca="false">IF(Properties!A12="","",Properties!A12)</f>
        <v/>
      </c>
      <c r="B21" s="12" t="str">
        <f aca="false">IF($A21="","",Properties!B12)</f>
        <v/>
      </c>
      <c r="C21" s="12" t="str">
        <f aca="false">IF($A21="","",Properties!C12)</f>
        <v/>
      </c>
      <c r="D21" s="12" t="str">
        <f aca="false">IF($A21="","",Properties!F12)</f>
        <v/>
      </c>
      <c r="E21" s="13" t="str">
        <f aca="false">IF($A21="","",IFERROR(IF(_xlfn.MAXIFS('Restock Log'!$D:$D,'Restock Log'!$B:$B,A21)=0,"None",_xlfn.MAXIFS('Restock Log'!$D:$D,'Restock Log'!$B:$B,A21)),"None"))</f>
        <v/>
      </c>
      <c r="F21" s="13" t="str">
        <f aca="false">IF($A21="","",IF(E21="None","",E21+D21))</f>
        <v/>
      </c>
      <c r="G21" s="14" t="str">
        <f aca="true">IF($A21="","",IF(F21="","",F21-TODAY()))</f>
        <v/>
      </c>
      <c r="H21" s="14" t="str">
        <f aca="false">IF($A21="","",Properties!G12)</f>
        <v/>
      </c>
      <c r="I21" s="15" t="str">
        <f aca="false">IF($A21="","",IF(H21="Y","URGENT",IF(E21="None","NOT SET",IF(G21&lt;0,"OVERDUE",IF(G21&lt;=7,"DUE SOON","OK")))))</f>
        <v/>
      </c>
    </row>
    <row r="22" customFormat="false" ht="15" hidden="false" customHeight="false" outlineLevel="0" collapsed="false">
      <c r="A22" s="12" t="str">
        <f aca="false">IF(Properties!A13="","",Properties!A13)</f>
        <v/>
      </c>
      <c r="B22" s="12" t="str">
        <f aca="false">IF($A22="","",Properties!B13)</f>
        <v/>
      </c>
      <c r="C22" s="12" t="str">
        <f aca="false">IF($A22="","",Properties!C13)</f>
        <v/>
      </c>
      <c r="D22" s="12" t="str">
        <f aca="false">IF($A22="","",Properties!F13)</f>
        <v/>
      </c>
      <c r="E22" s="13" t="str">
        <f aca="false">IF($A22="","",IFERROR(IF(_xlfn.MAXIFS('Restock Log'!$D:$D,'Restock Log'!$B:$B,A22)=0,"None",_xlfn.MAXIFS('Restock Log'!$D:$D,'Restock Log'!$B:$B,A22)),"None"))</f>
        <v/>
      </c>
      <c r="F22" s="13" t="str">
        <f aca="false">IF($A22="","",IF(E22="None","",E22+D22))</f>
        <v/>
      </c>
      <c r="G22" s="14" t="str">
        <f aca="true">IF($A22="","",IF(F22="","",F22-TODAY()))</f>
        <v/>
      </c>
      <c r="H22" s="14" t="str">
        <f aca="false">IF($A22="","",Properties!G13)</f>
        <v/>
      </c>
      <c r="I22" s="15" t="str">
        <f aca="false">IF($A22="","",IF(H22="Y","URGENT",IF(E22="None","NOT SET",IF(G22&lt;0,"OVERDUE",IF(G22&lt;=7,"DUE SOON","OK")))))</f>
        <v/>
      </c>
    </row>
    <row r="23" customFormat="false" ht="15" hidden="false" customHeight="false" outlineLevel="0" collapsed="false">
      <c r="A23" s="12" t="str">
        <f aca="false">IF(Properties!A14="","",Properties!A14)</f>
        <v/>
      </c>
      <c r="B23" s="12" t="str">
        <f aca="false">IF($A23="","",Properties!B14)</f>
        <v/>
      </c>
      <c r="C23" s="12" t="str">
        <f aca="false">IF($A23="","",Properties!C14)</f>
        <v/>
      </c>
      <c r="D23" s="12" t="str">
        <f aca="false">IF($A23="","",Properties!F14)</f>
        <v/>
      </c>
      <c r="E23" s="13" t="str">
        <f aca="false">IF($A23="","",IFERROR(IF(_xlfn.MAXIFS('Restock Log'!$D:$D,'Restock Log'!$B:$B,A23)=0,"None",_xlfn.MAXIFS('Restock Log'!$D:$D,'Restock Log'!$B:$B,A23)),"None"))</f>
        <v/>
      </c>
      <c r="F23" s="13" t="str">
        <f aca="false">IF($A23="","",IF(E23="None","",E23+D23))</f>
        <v/>
      </c>
      <c r="G23" s="14" t="str">
        <f aca="true">IF($A23="","",IF(F23="","",F23-TODAY()))</f>
        <v/>
      </c>
      <c r="H23" s="14" t="str">
        <f aca="false">IF($A23="","",Properties!G14)</f>
        <v/>
      </c>
      <c r="I23" s="15" t="str">
        <f aca="false">IF($A23="","",IF(H23="Y","URGENT",IF(E23="None","NOT SET",IF(G23&lt;0,"OVERDUE",IF(G23&lt;=7,"DUE SOON","OK")))))</f>
        <v/>
      </c>
    </row>
    <row r="24" customFormat="false" ht="15" hidden="false" customHeight="false" outlineLevel="0" collapsed="false">
      <c r="A24" s="12" t="str">
        <f aca="false">IF(Properties!A15="","",Properties!A15)</f>
        <v/>
      </c>
      <c r="B24" s="12" t="str">
        <f aca="false">IF($A24="","",Properties!B15)</f>
        <v/>
      </c>
      <c r="C24" s="12" t="str">
        <f aca="false">IF($A24="","",Properties!C15)</f>
        <v/>
      </c>
      <c r="D24" s="12" t="str">
        <f aca="false">IF($A24="","",Properties!F15)</f>
        <v/>
      </c>
      <c r="E24" s="13" t="str">
        <f aca="false">IF($A24="","",IFERROR(IF(_xlfn.MAXIFS('Restock Log'!$D:$D,'Restock Log'!$B:$B,A24)=0,"None",_xlfn.MAXIFS('Restock Log'!$D:$D,'Restock Log'!$B:$B,A24)),"None"))</f>
        <v/>
      </c>
      <c r="F24" s="13" t="str">
        <f aca="false">IF($A24="","",IF(E24="None","",E24+D24))</f>
        <v/>
      </c>
      <c r="G24" s="14" t="str">
        <f aca="true">IF($A24="","",IF(F24="","",F24-TODAY()))</f>
        <v/>
      </c>
      <c r="H24" s="14" t="str">
        <f aca="false">IF($A24="","",Properties!G15)</f>
        <v/>
      </c>
      <c r="I24" s="15" t="str">
        <f aca="false">IF($A24="","",IF(H24="Y","URGENT",IF(E24="None","NOT SET",IF(G24&lt;0,"OVERDUE",IF(G24&lt;=7,"DUE SOON","OK")))))</f>
        <v/>
      </c>
    </row>
    <row r="25" customFormat="false" ht="15" hidden="false" customHeight="false" outlineLevel="0" collapsed="false">
      <c r="A25" s="12" t="str">
        <f aca="false">IF(Properties!A16="","",Properties!A16)</f>
        <v/>
      </c>
      <c r="B25" s="12" t="str">
        <f aca="false">IF($A25="","",Properties!B16)</f>
        <v/>
      </c>
      <c r="C25" s="12" t="str">
        <f aca="false">IF($A25="","",Properties!C16)</f>
        <v/>
      </c>
      <c r="D25" s="12" t="str">
        <f aca="false">IF($A25="","",Properties!F16)</f>
        <v/>
      </c>
      <c r="E25" s="13" t="str">
        <f aca="false">IF($A25="","",IFERROR(IF(_xlfn.MAXIFS('Restock Log'!$D:$D,'Restock Log'!$B:$B,A25)=0,"None",_xlfn.MAXIFS('Restock Log'!$D:$D,'Restock Log'!$B:$B,A25)),"None"))</f>
        <v/>
      </c>
      <c r="F25" s="13" t="str">
        <f aca="false">IF($A25="","",IF(E25="None","",E25+D25))</f>
        <v/>
      </c>
      <c r="G25" s="14" t="str">
        <f aca="true">IF($A25="","",IF(F25="","",F25-TODAY()))</f>
        <v/>
      </c>
      <c r="H25" s="14" t="str">
        <f aca="false">IF($A25="","",Properties!G16)</f>
        <v/>
      </c>
      <c r="I25" s="15" t="str">
        <f aca="false">IF($A25="","",IF(H25="Y","URGENT",IF(E25="None","NOT SET",IF(G25&lt;0,"OVERDUE",IF(G25&lt;=7,"DUE SOON","OK")))))</f>
        <v/>
      </c>
    </row>
    <row r="26" customFormat="false" ht="15" hidden="false" customHeight="false" outlineLevel="0" collapsed="false">
      <c r="A26" s="12" t="str">
        <f aca="false">IF(Properties!A17="","",Properties!A17)</f>
        <v/>
      </c>
      <c r="B26" s="12" t="str">
        <f aca="false">IF($A26="","",Properties!B17)</f>
        <v/>
      </c>
      <c r="C26" s="12" t="str">
        <f aca="false">IF($A26="","",Properties!C17)</f>
        <v/>
      </c>
      <c r="D26" s="12" t="str">
        <f aca="false">IF($A26="","",Properties!F17)</f>
        <v/>
      </c>
      <c r="E26" s="13" t="str">
        <f aca="false">IF($A26="","",IFERROR(IF(_xlfn.MAXIFS('Restock Log'!$D:$D,'Restock Log'!$B:$B,A26)=0,"None",_xlfn.MAXIFS('Restock Log'!$D:$D,'Restock Log'!$B:$B,A26)),"None"))</f>
        <v/>
      </c>
      <c r="F26" s="13" t="str">
        <f aca="false">IF($A26="","",IF(E26="None","",E26+D26))</f>
        <v/>
      </c>
      <c r="G26" s="14" t="str">
        <f aca="true">IF($A26="","",IF(F26="","",F26-TODAY()))</f>
        <v/>
      </c>
      <c r="H26" s="14" t="str">
        <f aca="false">IF($A26="","",Properties!G17)</f>
        <v/>
      </c>
      <c r="I26" s="15" t="str">
        <f aca="false">IF($A26="","",IF(H26="Y","URGENT",IF(E26="None","NOT SET",IF(G26&lt;0,"OVERDUE",IF(G26&lt;=7,"DUE SOON","OK")))))</f>
        <v/>
      </c>
    </row>
    <row r="27" customFormat="false" ht="15" hidden="false" customHeight="false" outlineLevel="0" collapsed="false">
      <c r="A27" s="12" t="str">
        <f aca="false">IF(Properties!A18="","",Properties!A18)</f>
        <v/>
      </c>
      <c r="B27" s="12" t="str">
        <f aca="false">IF($A27="","",Properties!B18)</f>
        <v/>
      </c>
      <c r="C27" s="12" t="str">
        <f aca="false">IF($A27="","",Properties!C18)</f>
        <v/>
      </c>
      <c r="D27" s="12" t="str">
        <f aca="false">IF($A27="","",Properties!F18)</f>
        <v/>
      </c>
      <c r="E27" s="13" t="str">
        <f aca="false">IF($A27="","",IFERROR(IF(_xlfn.MAXIFS('Restock Log'!$D:$D,'Restock Log'!$B:$B,A27)=0,"None",_xlfn.MAXIFS('Restock Log'!$D:$D,'Restock Log'!$B:$B,A27)),"None"))</f>
        <v/>
      </c>
      <c r="F27" s="13" t="str">
        <f aca="false">IF($A27="","",IF(E27="None","",E27+D27))</f>
        <v/>
      </c>
      <c r="G27" s="14" t="str">
        <f aca="true">IF($A27="","",IF(F27="","",F27-TODAY()))</f>
        <v/>
      </c>
      <c r="H27" s="14" t="str">
        <f aca="false">IF($A27="","",Properties!G18)</f>
        <v/>
      </c>
      <c r="I27" s="15" t="str">
        <f aca="false">IF($A27="","",IF(H27="Y","URGENT",IF(E27="None","NOT SET",IF(G27&lt;0,"OVERDUE",IF(G27&lt;=7,"DUE SOON","OK")))))</f>
        <v/>
      </c>
    </row>
    <row r="28" customFormat="false" ht="15" hidden="false" customHeight="false" outlineLevel="0" collapsed="false">
      <c r="A28" s="12" t="str">
        <f aca="false">IF(Properties!A19="","",Properties!A19)</f>
        <v/>
      </c>
      <c r="B28" s="12" t="str">
        <f aca="false">IF($A28="","",Properties!B19)</f>
        <v/>
      </c>
      <c r="C28" s="12" t="str">
        <f aca="false">IF($A28="","",Properties!C19)</f>
        <v/>
      </c>
      <c r="D28" s="12" t="str">
        <f aca="false">IF($A28="","",Properties!F19)</f>
        <v/>
      </c>
      <c r="E28" s="13" t="str">
        <f aca="false">IF($A28="","",IFERROR(IF(_xlfn.MAXIFS('Restock Log'!$D:$D,'Restock Log'!$B:$B,A28)=0,"None",_xlfn.MAXIFS('Restock Log'!$D:$D,'Restock Log'!$B:$B,A28)),"None"))</f>
        <v/>
      </c>
      <c r="F28" s="13" t="str">
        <f aca="false">IF($A28="","",IF(E28="None","",E28+D28))</f>
        <v/>
      </c>
      <c r="G28" s="14" t="str">
        <f aca="true">IF($A28="","",IF(F28="","",F28-TODAY()))</f>
        <v/>
      </c>
      <c r="H28" s="14" t="str">
        <f aca="false">IF($A28="","",Properties!G19)</f>
        <v/>
      </c>
      <c r="I28" s="15" t="str">
        <f aca="false">IF($A28="","",IF(H28="Y","URGENT",IF(E28="None","NOT SET",IF(G28&lt;0,"OVERDUE",IF(G28&lt;=7,"DUE SOON","OK")))))</f>
        <v/>
      </c>
    </row>
    <row r="29" customFormat="false" ht="15" hidden="false" customHeight="false" outlineLevel="0" collapsed="false">
      <c r="A29" s="12" t="str">
        <f aca="false">IF(Properties!A20="","",Properties!A20)</f>
        <v/>
      </c>
      <c r="B29" s="12" t="str">
        <f aca="false">IF($A29="","",Properties!B20)</f>
        <v/>
      </c>
      <c r="C29" s="12" t="str">
        <f aca="false">IF($A29="","",Properties!C20)</f>
        <v/>
      </c>
      <c r="D29" s="12" t="str">
        <f aca="false">IF($A29="","",Properties!F20)</f>
        <v/>
      </c>
      <c r="E29" s="13" t="str">
        <f aca="false">IF($A29="","",IFERROR(IF(_xlfn.MAXIFS('Restock Log'!$D:$D,'Restock Log'!$B:$B,A29)=0,"None",_xlfn.MAXIFS('Restock Log'!$D:$D,'Restock Log'!$B:$B,A29)),"None"))</f>
        <v/>
      </c>
      <c r="F29" s="13" t="str">
        <f aca="false">IF($A29="","",IF(E29="None","",E29+D29))</f>
        <v/>
      </c>
      <c r="G29" s="14" t="str">
        <f aca="true">IF($A29="","",IF(F29="","",F29-TODAY()))</f>
        <v/>
      </c>
      <c r="H29" s="14" t="str">
        <f aca="false">IF($A29="","",Properties!G20)</f>
        <v/>
      </c>
      <c r="I29" s="15" t="str">
        <f aca="false">IF($A29="","",IF(H29="Y","URGENT",IF(E29="None","NOT SET",IF(G29&lt;0,"OVERDUE",IF(G29&lt;=7,"DUE SOON","OK")))))</f>
        <v/>
      </c>
    </row>
    <row r="30" customFormat="false" ht="15" hidden="false" customHeight="false" outlineLevel="0" collapsed="false">
      <c r="A30" s="12" t="str">
        <f aca="false">IF(Properties!A21="","",Properties!A21)</f>
        <v/>
      </c>
      <c r="B30" s="12" t="str">
        <f aca="false">IF($A30="","",Properties!B21)</f>
        <v/>
      </c>
      <c r="C30" s="12" t="str">
        <f aca="false">IF($A30="","",Properties!C21)</f>
        <v/>
      </c>
      <c r="D30" s="12" t="str">
        <f aca="false">IF($A30="","",Properties!F21)</f>
        <v/>
      </c>
      <c r="E30" s="13" t="str">
        <f aca="false">IF($A30="","",IFERROR(IF(_xlfn.MAXIFS('Restock Log'!$D:$D,'Restock Log'!$B:$B,A30)=0,"None",_xlfn.MAXIFS('Restock Log'!$D:$D,'Restock Log'!$B:$B,A30)),"None"))</f>
        <v/>
      </c>
      <c r="F30" s="13" t="str">
        <f aca="false">IF($A30="","",IF(E30="None","",E30+D30))</f>
        <v/>
      </c>
      <c r="G30" s="14" t="str">
        <f aca="true">IF($A30="","",IF(F30="","",F30-TODAY()))</f>
        <v/>
      </c>
      <c r="H30" s="14" t="str">
        <f aca="false">IF($A30="","",Properties!G21)</f>
        <v/>
      </c>
      <c r="I30" s="15" t="str">
        <f aca="false">IF($A30="","",IF(H30="Y","URGENT",IF(E30="None","NOT SET",IF(G30&lt;0,"OVERDUE",IF(G30&lt;=7,"DUE SOON","OK")))))</f>
        <v/>
      </c>
    </row>
    <row r="31" customFormat="false" ht="15" hidden="false" customHeight="false" outlineLevel="0" collapsed="false">
      <c r="A31" s="12" t="str">
        <f aca="false">IF(Properties!A22="","",Properties!A22)</f>
        <v/>
      </c>
      <c r="B31" s="12" t="str">
        <f aca="false">IF($A31="","",Properties!B22)</f>
        <v/>
      </c>
      <c r="C31" s="12" t="str">
        <f aca="false">IF($A31="","",Properties!C22)</f>
        <v/>
      </c>
      <c r="D31" s="12" t="str">
        <f aca="false">IF($A31="","",Properties!F22)</f>
        <v/>
      </c>
      <c r="E31" s="13" t="str">
        <f aca="false">IF($A31="","",IFERROR(IF(_xlfn.MAXIFS('Restock Log'!$D:$D,'Restock Log'!$B:$B,A31)=0,"None",_xlfn.MAXIFS('Restock Log'!$D:$D,'Restock Log'!$B:$B,A31)),"None"))</f>
        <v/>
      </c>
      <c r="F31" s="13" t="str">
        <f aca="false">IF($A31="","",IF(E31="None","",E31+D31))</f>
        <v/>
      </c>
      <c r="G31" s="14" t="str">
        <f aca="true">IF($A31="","",IF(F31="","",F31-TODAY()))</f>
        <v/>
      </c>
      <c r="H31" s="14" t="str">
        <f aca="false">IF($A31="","",Properties!G22)</f>
        <v/>
      </c>
      <c r="I31" s="15" t="str">
        <f aca="false">IF($A31="","",IF(H31="Y","URGENT",IF(E31="None","NOT SET",IF(G31&lt;0,"OVERDUE",IF(G31&lt;=7,"DUE SOON","OK")))))</f>
        <v/>
      </c>
    </row>
    <row r="32" customFormat="false" ht="15" hidden="false" customHeight="false" outlineLevel="0" collapsed="false">
      <c r="A32" s="12" t="str">
        <f aca="false">IF(Properties!A23="","",Properties!A23)</f>
        <v/>
      </c>
      <c r="B32" s="12" t="str">
        <f aca="false">IF($A32="","",Properties!B23)</f>
        <v/>
      </c>
      <c r="C32" s="12" t="str">
        <f aca="false">IF($A32="","",Properties!C23)</f>
        <v/>
      </c>
      <c r="D32" s="12" t="str">
        <f aca="false">IF($A32="","",Properties!F23)</f>
        <v/>
      </c>
      <c r="E32" s="13" t="str">
        <f aca="false">IF($A32="","",IFERROR(IF(_xlfn.MAXIFS('Restock Log'!$D:$D,'Restock Log'!$B:$B,A32)=0,"None",_xlfn.MAXIFS('Restock Log'!$D:$D,'Restock Log'!$B:$B,A32)),"None"))</f>
        <v/>
      </c>
      <c r="F32" s="13" t="str">
        <f aca="false">IF($A32="","",IF(E32="None","",E32+D32))</f>
        <v/>
      </c>
      <c r="G32" s="14" t="str">
        <f aca="true">IF($A32="","",IF(F32="","",F32-TODAY()))</f>
        <v/>
      </c>
      <c r="H32" s="14" t="str">
        <f aca="false">IF($A32="","",Properties!G23)</f>
        <v/>
      </c>
      <c r="I32" s="15" t="str">
        <f aca="false">IF($A32="","",IF(H32="Y","URGENT",IF(E32="None","NOT SET",IF(G32&lt;0,"OVERDUE",IF(G32&lt;=7,"DUE SOON","OK")))))</f>
        <v/>
      </c>
    </row>
    <row r="33" customFormat="false" ht="15" hidden="false" customHeight="false" outlineLevel="0" collapsed="false">
      <c r="A33" s="12" t="str">
        <f aca="false">IF(Properties!A24="","",Properties!A24)</f>
        <v/>
      </c>
      <c r="B33" s="12" t="str">
        <f aca="false">IF($A33="","",Properties!B24)</f>
        <v/>
      </c>
      <c r="C33" s="12" t="str">
        <f aca="false">IF($A33="","",Properties!C24)</f>
        <v/>
      </c>
      <c r="D33" s="12" t="str">
        <f aca="false">IF($A33="","",Properties!F24)</f>
        <v/>
      </c>
      <c r="E33" s="13" t="str">
        <f aca="false">IF($A33="","",IFERROR(IF(_xlfn.MAXIFS('Restock Log'!$D:$D,'Restock Log'!$B:$B,A33)=0,"None",_xlfn.MAXIFS('Restock Log'!$D:$D,'Restock Log'!$B:$B,A33)),"None"))</f>
        <v/>
      </c>
      <c r="F33" s="13" t="str">
        <f aca="false">IF($A33="","",IF(E33="None","",E33+D33))</f>
        <v/>
      </c>
      <c r="G33" s="14" t="str">
        <f aca="true">IF($A33="","",IF(F33="","",F33-TODAY()))</f>
        <v/>
      </c>
      <c r="H33" s="14" t="str">
        <f aca="false">IF($A33="","",Properties!G24)</f>
        <v/>
      </c>
      <c r="I33" s="15" t="str">
        <f aca="false">IF($A33="","",IF(H33="Y","URGENT",IF(E33="None","NOT SET",IF(G33&lt;0,"OVERDUE",IF(G33&lt;=7,"DUE SOON","OK")))))</f>
        <v/>
      </c>
    </row>
    <row r="34" customFormat="false" ht="15" hidden="false" customHeight="false" outlineLevel="0" collapsed="false">
      <c r="A34" s="12" t="str">
        <f aca="false">IF(Properties!A25="","",Properties!A25)</f>
        <v/>
      </c>
      <c r="B34" s="12" t="str">
        <f aca="false">IF($A34="","",Properties!B25)</f>
        <v/>
      </c>
      <c r="C34" s="12" t="str">
        <f aca="false">IF($A34="","",Properties!C25)</f>
        <v/>
      </c>
      <c r="D34" s="12" t="str">
        <f aca="false">IF($A34="","",Properties!F25)</f>
        <v/>
      </c>
      <c r="E34" s="13" t="str">
        <f aca="false">IF($A34="","",IFERROR(IF(_xlfn.MAXIFS('Restock Log'!$D:$D,'Restock Log'!$B:$B,A34)=0,"None",_xlfn.MAXIFS('Restock Log'!$D:$D,'Restock Log'!$B:$B,A34)),"None"))</f>
        <v/>
      </c>
      <c r="F34" s="13" t="str">
        <f aca="false">IF($A34="","",IF(E34="None","",E34+D34))</f>
        <v/>
      </c>
      <c r="G34" s="14" t="str">
        <f aca="true">IF($A34="","",IF(F34="","",F34-TODAY()))</f>
        <v/>
      </c>
      <c r="H34" s="14" t="str">
        <f aca="false">IF($A34="","",Properties!G25)</f>
        <v/>
      </c>
      <c r="I34" s="15" t="str">
        <f aca="false">IF($A34="","",IF(H34="Y","URGENT",IF(E34="None","NOT SET",IF(G34&lt;0,"OVERDUE",IF(G34&lt;=7,"DUE SOON","OK")))))</f>
        <v/>
      </c>
    </row>
    <row r="35" customFormat="false" ht="15" hidden="false" customHeight="false" outlineLevel="0" collapsed="false">
      <c r="A35" s="12" t="str">
        <f aca="false">IF(Properties!A26="","",Properties!A26)</f>
        <v/>
      </c>
      <c r="B35" s="12" t="str">
        <f aca="false">IF($A35="","",Properties!B26)</f>
        <v/>
      </c>
      <c r="C35" s="12" t="str">
        <f aca="false">IF($A35="","",Properties!C26)</f>
        <v/>
      </c>
      <c r="D35" s="12" t="str">
        <f aca="false">IF($A35="","",Properties!F26)</f>
        <v/>
      </c>
      <c r="E35" s="13" t="str">
        <f aca="false">IF($A35="","",IFERROR(IF(_xlfn.MAXIFS('Restock Log'!$D:$D,'Restock Log'!$B:$B,A35)=0,"None",_xlfn.MAXIFS('Restock Log'!$D:$D,'Restock Log'!$B:$B,A35)),"None"))</f>
        <v/>
      </c>
      <c r="F35" s="13" t="str">
        <f aca="false">IF($A35="","",IF(E35="None","",E35+D35))</f>
        <v/>
      </c>
      <c r="G35" s="14" t="str">
        <f aca="true">IF($A35="","",IF(F35="","",F35-TODAY()))</f>
        <v/>
      </c>
      <c r="H35" s="14" t="str">
        <f aca="false">IF($A35="","",Properties!G26)</f>
        <v/>
      </c>
      <c r="I35" s="15" t="str">
        <f aca="false">IF($A35="","",IF(H35="Y","URGENT",IF(E35="None","NOT SET",IF(G35&lt;0,"OVERDUE",IF(G35&lt;=7,"DUE SOON","OK")))))</f>
        <v/>
      </c>
    </row>
    <row r="36" customFormat="false" ht="15" hidden="false" customHeight="false" outlineLevel="0" collapsed="false">
      <c r="A36" s="12" t="str">
        <f aca="false">IF(Properties!A27="","",Properties!A27)</f>
        <v/>
      </c>
      <c r="B36" s="12" t="str">
        <f aca="false">IF($A36="","",Properties!B27)</f>
        <v/>
      </c>
      <c r="C36" s="12" t="str">
        <f aca="false">IF($A36="","",Properties!C27)</f>
        <v/>
      </c>
      <c r="D36" s="12" t="str">
        <f aca="false">IF($A36="","",Properties!F27)</f>
        <v/>
      </c>
      <c r="E36" s="13" t="str">
        <f aca="false">IF($A36="","",IFERROR(IF(_xlfn.MAXIFS('Restock Log'!$D:$D,'Restock Log'!$B:$B,A36)=0,"None",_xlfn.MAXIFS('Restock Log'!$D:$D,'Restock Log'!$B:$B,A36)),"None"))</f>
        <v/>
      </c>
      <c r="F36" s="13" t="str">
        <f aca="false">IF($A36="","",IF(E36="None","",E36+D36))</f>
        <v/>
      </c>
      <c r="G36" s="14" t="str">
        <f aca="true">IF($A36="","",IF(F36="","",F36-TODAY()))</f>
        <v/>
      </c>
      <c r="H36" s="14" t="str">
        <f aca="false">IF($A36="","",Properties!G27)</f>
        <v/>
      </c>
      <c r="I36" s="15" t="str">
        <f aca="false">IF($A36="","",IF(H36="Y","URGENT",IF(E36="None","NOT SET",IF(G36&lt;0,"OVERDUE",IF(G36&lt;=7,"DUE SOON","OK")))))</f>
        <v/>
      </c>
    </row>
    <row r="37" customFormat="false" ht="15" hidden="false" customHeight="false" outlineLevel="0" collapsed="false">
      <c r="A37" s="12" t="str">
        <f aca="false">IF(Properties!A28="","",Properties!A28)</f>
        <v/>
      </c>
      <c r="B37" s="12" t="str">
        <f aca="false">IF($A37="","",Properties!B28)</f>
        <v/>
      </c>
      <c r="C37" s="12" t="str">
        <f aca="false">IF($A37="","",Properties!C28)</f>
        <v/>
      </c>
      <c r="D37" s="12" t="str">
        <f aca="false">IF($A37="","",Properties!F28)</f>
        <v/>
      </c>
      <c r="E37" s="13" t="str">
        <f aca="false">IF($A37="","",IFERROR(IF(_xlfn.MAXIFS('Restock Log'!$D:$D,'Restock Log'!$B:$B,A37)=0,"None",_xlfn.MAXIFS('Restock Log'!$D:$D,'Restock Log'!$B:$B,A37)),"None"))</f>
        <v/>
      </c>
      <c r="F37" s="13" t="str">
        <f aca="false">IF($A37="","",IF(E37="None","",E37+D37))</f>
        <v/>
      </c>
      <c r="G37" s="14" t="str">
        <f aca="true">IF($A37="","",IF(F37="","",F37-TODAY()))</f>
        <v/>
      </c>
      <c r="H37" s="14" t="str">
        <f aca="false">IF($A37="","",Properties!G28)</f>
        <v/>
      </c>
      <c r="I37" s="15" t="str">
        <f aca="false">IF($A37="","",IF(H37="Y","URGENT",IF(E37="None","NOT SET",IF(G37&lt;0,"OVERDUE",IF(G37&lt;=7,"DUE SOON","OK")))))</f>
        <v/>
      </c>
    </row>
    <row r="38" customFormat="false" ht="15" hidden="false" customHeight="false" outlineLevel="0" collapsed="false">
      <c r="A38" s="12" t="str">
        <f aca="false">IF(Properties!A29="","",Properties!A29)</f>
        <v/>
      </c>
      <c r="B38" s="12" t="str">
        <f aca="false">IF($A38="","",Properties!B29)</f>
        <v/>
      </c>
      <c r="C38" s="12" t="str">
        <f aca="false">IF($A38="","",Properties!C29)</f>
        <v/>
      </c>
      <c r="D38" s="12" t="str">
        <f aca="false">IF($A38="","",Properties!F29)</f>
        <v/>
      </c>
      <c r="E38" s="13" t="str">
        <f aca="false">IF($A38="","",IFERROR(IF(_xlfn.MAXIFS('Restock Log'!$D:$D,'Restock Log'!$B:$B,A38)=0,"None",_xlfn.MAXIFS('Restock Log'!$D:$D,'Restock Log'!$B:$B,A38)),"None"))</f>
        <v/>
      </c>
      <c r="F38" s="13" t="str">
        <f aca="false">IF($A38="","",IF(E38="None","",E38+D38))</f>
        <v/>
      </c>
      <c r="G38" s="14" t="str">
        <f aca="true">IF($A38="","",IF(F38="","",F38-TODAY()))</f>
        <v/>
      </c>
      <c r="H38" s="14" t="str">
        <f aca="false">IF($A38="","",Properties!G29)</f>
        <v/>
      </c>
      <c r="I38" s="15" t="str">
        <f aca="false">IF($A38="","",IF(H38="Y","URGENT",IF(E38="None","NOT SET",IF(G38&lt;0,"OVERDUE",IF(G38&lt;=7,"DUE SOON","OK")))))</f>
        <v/>
      </c>
    </row>
    <row r="39" customFormat="false" ht="15" hidden="false" customHeight="false" outlineLevel="0" collapsed="false">
      <c r="A39" s="12" t="str">
        <f aca="false">IF(Properties!A30="","",Properties!A30)</f>
        <v/>
      </c>
      <c r="B39" s="12" t="str">
        <f aca="false">IF($A39="","",Properties!B30)</f>
        <v/>
      </c>
      <c r="C39" s="12" t="str">
        <f aca="false">IF($A39="","",Properties!C30)</f>
        <v/>
      </c>
      <c r="D39" s="12" t="str">
        <f aca="false">IF($A39="","",Properties!F30)</f>
        <v/>
      </c>
      <c r="E39" s="13" t="str">
        <f aca="false">IF($A39="","",IFERROR(IF(_xlfn.MAXIFS('Restock Log'!$D:$D,'Restock Log'!$B:$B,A39)=0,"None",_xlfn.MAXIFS('Restock Log'!$D:$D,'Restock Log'!$B:$B,A39)),"None"))</f>
        <v/>
      </c>
      <c r="F39" s="13" t="str">
        <f aca="false">IF($A39="","",IF(E39="None","",E39+D39))</f>
        <v/>
      </c>
      <c r="G39" s="14" t="str">
        <f aca="true">IF($A39="","",IF(F39="","",F39-TODAY()))</f>
        <v/>
      </c>
      <c r="H39" s="14" t="str">
        <f aca="false">IF($A39="","",Properties!G30)</f>
        <v/>
      </c>
      <c r="I39" s="15" t="str">
        <f aca="false">IF($A39="","",IF(H39="Y","URGENT",IF(E39="None","NOT SET",IF(G39&lt;0,"OVERDUE",IF(G39&lt;=7,"DUE SOON","OK")))))</f>
        <v/>
      </c>
    </row>
    <row r="40" customFormat="false" ht="15" hidden="false" customHeight="false" outlineLevel="0" collapsed="false">
      <c r="A40" s="12" t="str">
        <f aca="false">IF(Properties!A31="","",Properties!A31)</f>
        <v/>
      </c>
      <c r="B40" s="12" t="str">
        <f aca="false">IF($A40="","",Properties!B31)</f>
        <v/>
      </c>
      <c r="C40" s="12" t="str">
        <f aca="false">IF($A40="","",Properties!C31)</f>
        <v/>
      </c>
      <c r="D40" s="12" t="str">
        <f aca="false">IF($A40="","",Properties!F31)</f>
        <v/>
      </c>
      <c r="E40" s="13" t="str">
        <f aca="false">IF($A40="","",IFERROR(IF(_xlfn.MAXIFS('Restock Log'!$D:$D,'Restock Log'!$B:$B,A40)=0,"None",_xlfn.MAXIFS('Restock Log'!$D:$D,'Restock Log'!$B:$B,A40)),"None"))</f>
        <v/>
      </c>
      <c r="F40" s="13" t="str">
        <f aca="false">IF($A40="","",IF(E40="None","",E40+D40))</f>
        <v/>
      </c>
      <c r="G40" s="14" t="str">
        <f aca="true">IF($A40="","",IF(F40="","",F40-TODAY()))</f>
        <v/>
      </c>
      <c r="H40" s="14" t="str">
        <f aca="false">IF($A40="","",Properties!G31)</f>
        <v/>
      </c>
      <c r="I40" s="15" t="str">
        <f aca="false">IF($A40="","",IF(H40="Y","URGENT",IF(E40="None","NOT SET",IF(G40&lt;0,"OVERDUE",IF(G40&lt;=7,"DUE SOON","OK")))))</f>
        <v/>
      </c>
    </row>
    <row r="41" customFormat="false" ht="15" hidden="false" customHeight="false" outlineLevel="0" collapsed="false">
      <c r="A41" s="12" t="str">
        <f aca="false">IF(Properties!A32="","",Properties!A32)</f>
        <v/>
      </c>
      <c r="B41" s="12" t="str">
        <f aca="false">IF($A41="","",Properties!B32)</f>
        <v/>
      </c>
      <c r="C41" s="12" t="str">
        <f aca="false">IF($A41="","",Properties!C32)</f>
        <v/>
      </c>
      <c r="D41" s="12" t="str">
        <f aca="false">IF($A41="","",Properties!F32)</f>
        <v/>
      </c>
      <c r="E41" s="13" t="str">
        <f aca="false">IF($A41="","",IFERROR(IF(_xlfn.MAXIFS('Restock Log'!$D:$D,'Restock Log'!$B:$B,A41)=0,"None",_xlfn.MAXIFS('Restock Log'!$D:$D,'Restock Log'!$B:$B,A41)),"None"))</f>
        <v/>
      </c>
      <c r="F41" s="13" t="str">
        <f aca="false">IF($A41="","",IF(E41="None","",E41+D41))</f>
        <v/>
      </c>
      <c r="G41" s="14" t="str">
        <f aca="true">IF($A41="","",IF(F41="","",F41-TODAY()))</f>
        <v/>
      </c>
      <c r="H41" s="14" t="str">
        <f aca="false">IF($A41="","",Properties!G32)</f>
        <v/>
      </c>
      <c r="I41" s="15" t="str">
        <f aca="false">IF($A41="","",IF(H41="Y","URGENT",IF(E41="None","NOT SET",IF(G41&lt;0,"OVERDUE",IF(G41&lt;=7,"DUE SOON","OK")))))</f>
        <v/>
      </c>
    </row>
    <row r="42" customFormat="false" ht="15" hidden="false" customHeight="false" outlineLevel="0" collapsed="false">
      <c r="A42" s="12" t="str">
        <f aca="false">IF(Properties!A33="","",Properties!A33)</f>
        <v/>
      </c>
      <c r="B42" s="12" t="str">
        <f aca="false">IF($A42="","",Properties!B33)</f>
        <v/>
      </c>
      <c r="C42" s="12" t="str">
        <f aca="false">IF($A42="","",Properties!C33)</f>
        <v/>
      </c>
      <c r="D42" s="12" t="str">
        <f aca="false">IF($A42="","",Properties!F33)</f>
        <v/>
      </c>
      <c r="E42" s="13" t="str">
        <f aca="false">IF($A42="","",IFERROR(IF(_xlfn.MAXIFS('Restock Log'!$D:$D,'Restock Log'!$B:$B,A42)=0,"None",_xlfn.MAXIFS('Restock Log'!$D:$D,'Restock Log'!$B:$B,A42)),"None"))</f>
        <v/>
      </c>
      <c r="F42" s="13" t="str">
        <f aca="false">IF($A42="","",IF(E42="None","",E42+D42))</f>
        <v/>
      </c>
      <c r="G42" s="14" t="str">
        <f aca="true">IF($A42="","",IF(F42="","",F42-TODAY()))</f>
        <v/>
      </c>
      <c r="H42" s="14" t="str">
        <f aca="false">IF($A42="","",Properties!G33)</f>
        <v/>
      </c>
      <c r="I42" s="15" t="str">
        <f aca="false">IF($A42="","",IF(H42="Y","URGENT",IF(E42="None","NOT SET",IF(G42&lt;0,"OVERDUE",IF(G42&lt;=7,"DUE SOON","OK")))))</f>
        <v/>
      </c>
    </row>
    <row r="43" customFormat="false" ht="15" hidden="false" customHeight="false" outlineLevel="0" collapsed="false">
      <c r="A43" s="12" t="str">
        <f aca="false">IF(Properties!A34="","",Properties!A34)</f>
        <v/>
      </c>
      <c r="B43" s="12" t="str">
        <f aca="false">IF($A43="","",Properties!B34)</f>
        <v/>
      </c>
      <c r="C43" s="12" t="str">
        <f aca="false">IF($A43="","",Properties!C34)</f>
        <v/>
      </c>
      <c r="D43" s="12" t="str">
        <f aca="false">IF($A43="","",Properties!F34)</f>
        <v/>
      </c>
      <c r="E43" s="13" t="str">
        <f aca="false">IF($A43="","",IFERROR(IF(_xlfn.MAXIFS('Restock Log'!$D:$D,'Restock Log'!$B:$B,A43)=0,"None",_xlfn.MAXIFS('Restock Log'!$D:$D,'Restock Log'!$B:$B,A43)),"None"))</f>
        <v/>
      </c>
      <c r="F43" s="13" t="str">
        <f aca="false">IF($A43="","",IF(E43="None","",E43+D43))</f>
        <v/>
      </c>
      <c r="G43" s="14" t="str">
        <f aca="true">IF($A43="","",IF(F43="","",F43-TODAY()))</f>
        <v/>
      </c>
      <c r="H43" s="14" t="str">
        <f aca="false">IF($A43="","",Properties!G34)</f>
        <v/>
      </c>
      <c r="I43" s="15" t="str">
        <f aca="false">IF($A43="","",IF(H43="Y","URGENT",IF(E43="None","NOT SET",IF(G43&lt;0,"OVERDUE",IF(G43&lt;=7,"DUE SOON","OK")))))</f>
        <v/>
      </c>
    </row>
    <row r="44" customFormat="false" ht="15" hidden="false" customHeight="false" outlineLevel="0" collapsed="false">
      <c r="A44" s="12" t="str">
        <f aca="false">IF(Properties!A35="","",Properties!A35)</f>
        <v/>
      </c>
      <c r="B44" s="12" t="str">
        <f aca="false">IF($A44="","",Properties!B35)</f>
        <v/>
      </c>
      <c r="C44" s="12" t="str">
        <f aca="false">IF($A44="","",Properties!C35)</f>
        <v/>
      </c>
      <c r="D44" s="12" t="str">
        <f aca="false">IF($A44="","",Properties!F35)</f>
        <v/>
      </c>
      <c r="E44" s="13" t="str">
        <f aca="false">IF($A44="","",IFERROR(IF(_xlfn.MAXIFS('Restock Log'!$D:$D,'Restock Log'!$B:$B,A44)=0,"None",_xlfn.MAXIFS('Restock Log'!$D:$D,'Restock Log'!$B:$B,A44)),"None"))</f>
        <v/>
      </c>
      <c r="F44" s="13" t="str">
        <f aca="false">IF($A44="","",IF(E44="None","",E44+D44))</f>
        <v/>
      </c>
      <c r="G44" s="14" t="str">
        <f aca="true">IF($A44="","",IF(F44="","",F44-TODAY()))</f>
        <v/>
      </c>
      <c r="H44" s="14" t="str">
        <f aca="false">IF($A44="","",Properties!G35)</f>
        <v/>
      </c>
      <c r="I44" s="15" t="str">
        <f aca="false">IF($A44="","",IF(H44="Y","URGENT",IF(E44="None","NOT SET",IF(G44&lt;0,"OVERDUE",IF(G44&lt;=7,"DUE SOON","OK")))))</f>
        <v/>
      </c>
    </row>
    <row r="45" customFormat="false" ht="15" hidden="false" customHeight="false" outlineLevel="0" collapsed="false">
      <c r="A45" s="12" t="str">
        <f aca="false">IF(Properties!A36="","",Properties!A36)</f>
        <v/>
      </c>
      <c r="B45" s="12" t="str">
        <f aca="false">IF($A45="","",Properties!B36)</f>
        <v/>
      </c>
      <c r="C45" s="12" t="str">
        <f aca="false">IF($A45="","",Properties!C36)</f>
        <v/>
      </c>
      <c r="D45" s="12" t="str">
        <f aca="false">IF($A45="","",Properties!F36)</f>
        <v/>
      </c>
      <c r="E45" s="13" t="str">
        <f aca="false">IF($A45="","",IFERROR(IF(_xlfn.MAXIFS('Restock Log'!$D:$D,'Restock Log'!$B:$B,A45)=0,"None",_xlfn.MAXIFS('Restock Log'!$D:$D,'Restock Log'!$B:$B,A45)),"None"))</f>
        <v/>
      </c>
      <c r="F45" s="13" t="str">
        <f aca="false">IF($A45="","",IF(E45="None","",E45+D45))</f>
        <v/>
      </c>
      <c r="G45" s="14" t="str">
        <f aca="true">IF($A45="","",IF(F45="","",F45-TODAY()))</f>
        <v/>
      </c>
      <c r="H45" s="14" t="str">
        <f aca="false">IF($A45="","",Properties!G36)</f>
        <v/>
      </c>
      <c r="I45" s="15" t="str">
        <f aca="false">IF($A45="","",IF(H45="Y","URGENT",IF(E45="None","NOT SET",IF(G45&lt;0,"OVERDUE",IF(G45&lt;=7,"DUE SOON","OK")))))</f>
        <v/>
      </c>
    </row>
    <row r="46" customFormat="false" ht="15" hidden="false" customHeight="false" outlineLevel="0" collapsed="false">
      <c r="A46" s="12" t="str">
        <f aca="false">IF(Properties!A37="","",Properties!A37)</f>
        <v/>
      </c>
      <c r="B46" s="12" t="str">
        <f aca="false">IF($A46="","",Properties!B37)</f>
        <v/>
      </c>
      <c r="C46" s="12" t="str">
        <f aca="false">IF($A46="","",Properties!C37)</f>
        <v/>
      </c>
      <c r="D46" s="12" t="str">
        <f aca="false">IF($A46="","",Properties!F37)</f>
        <v/>
      </c>
      <c r="E46" s="13" t="str">
        <f aca="false">IF($A46="","",IFERROR(IF(_xlfn.MAXIFS('Restock Log'!$D:$D,'Restock Log'!$B:$B,A46)=0,"None",_xlfn.MAXIFS('Restock Log'!$D:$D,'Restock Log'!$B:$B,A46)),"None"))</f>
        <v/>
      </c>
      <c r="F46" s="13" t="str">
        <f aca="false">IF($A46="","",IF(E46="None","",E46+D46))</f>
        <v/>
      </c>
      <c r="G46" s="14" t="str">
        <f aca="true">IF($A46="","",IF(F46="","",F46-TODAY()))</f>
        <v/>
      </c>
      <c r="H46" s="14" t="str">
        <f aca="false">IF($A46="","",Properties!G37)</f>
        <v/>
      </c>
      <c r="I46" s="15" t="str">
        <f aca="false">IF($A46="","",IF(H46="Y","URGENT",IF(E46="None","NOT SET",IF(G46&lt;0,"OVERDUE",IF(G46&lt;=7,"DUE SOON","OK")))))</f>
        <v/>
      </c>
    </row>
    <row r="47" customFormat="false" ht="15" hidden="false" customHeight="false" outlineLevel="0" collapsed="false">
      <c r="A47" s="12" t="str">
        <f aca="false">IF(Properties!A38="","",Properties!A38)</f>
        <v/>
      </c>
      <c r="B47" s="12" t="str">
        <f aca="false">IF($A47="","",Properties!B38)</f>
        <v/>
      </c>
      <c r="C47" s="12" t="str">
        <f aca="false">IF($A47="","",Properties!C38)</f>
        <v/>
      </c>
      <c r="D47" s="12" t="str">
        <f aca="false">IF($A47="","",Properties!F38)</f>
        <v/>
      </c>
      <c r="E47" s="13" t="str">
        <f aca="false">IF($A47="","",IFERROR(IF(_xlfn.MAXIFS('Restock Log'!$D:$D,'Restock Log'!$B:$B,A47)=0,"None",_xlfn.MAXIFS('Restock Log'!$D:$D,'Restock Log'!$B:$B,A47)),"None"))</f>
        <v/>
      </c>
      <c r="F47" s="13" t="str">
        <f aca="false">IF($A47="","",IF(E47="None","",E47+D47))</f>
        <v/>
      </c>
      <c r="G47" s="14" t="str">
        <f aca="true">IF($A47="","",IF(F47="","",F47-TODAY()))</f>
        <v/>
      </c>
      <c r="H47" s="14" t="str">
        <f aca="false">IF($A47="","",Properties!G38)</f>
        <v/>
      </c>
      <c r="I47" s="15" t="str">
        <f aca="false">IF($A47="","",IF(H47="Y","URGENT",IF(E47="None","NOT SET",IF(G47&lt;0,"OVERDUE",IF(G47&lt;=7,"DUE SOON","OK")))))</f>
        <v/>
      </c>
    </row>
    <row r="48" customFormat="false" ht="15" hidden="false" customHeight="false" outlineLevel="0" collapsed="false">
      <c r="A48" s="12" t="str">
        <f aca="false">IF(Properties!A39="","",Properties!A39)</f>
        <v/>
      </c>
      <c r="B48" s="12" t="str">
        <f aca="false">IF($A48="","",Properties!B39)</f>
        <v/>
      </c>
      <c r="C48" s="12" t="str">
        <f aca="false">IF($A48="","",Properties!C39)</f>
        <v/>
      </c>
      <c r="D48" s="12" t="str">
        <f aca="false">IF($A48="","",Properties!F39)</f>
        <v/>
      </c>
      <c r="E48" s="13" t="str">
        <f aca="false">IF($A48="","",IFERROR(IF(_xlfn.MAXIFS('Restock Log'!$D:$D,'Restock Log'!$B:$B,A48)=0,"None",_xlfn.MAXIFS('Restock Log'!$D:$D,'Restock Log'!$B:$B,A48)),"None"))</f>
        <v/>
      </c>
      <c r="F48" s="13" t="str">
        <f aca="false">IF($A48="","",IF(E48="None","",E48+D48))</f>
        <v/>
      </c>
      <c r="G48" s="14" t="str">
        <f aca="true">IF($A48="","",IF(F48="","",F48-TODAY()))</f>
        <v/>
      </c>
      <c r="H48" s="14" t="str">
        <f aca="false">IF($A48="","",Properties!G39)</f>
        <v/>
      </c>
      <c r="I48" s="15" t="str">
        <f aca="false">IF($A48="","",IF(H48="Y","URGENT",IF(E48="None","NOT SET",IF(G48&lt;0,"OVERDUE",IF(G48&lt;=7,"DUE SOON","OK")))))</f>
        <v/>
      </c>
    </row>
    <row r="49" customFormat="false" ht="15" hidden="false" customHeight="false" outlineLevel="0" collapsed="false">
      <c r="A49" s="12" t="str">
        <f aca="false">IF(Properties!A40="","",Properties!A40)</f>
        <v/>
      </c>
      <c r="B49" s="12" t="str">
        <f aca="false">IF($A49="","",Properties!B40)</f>
        <v/>
      </c>
      <c r="C49" s="12" t="str">
        <f aca="false">IF($A49="","",Properties!C40)</f>
        <v/>
      </c>
      <c r="D49" s="12" t="str">
        <f aca="false">IF($A49="","",Properties!F40)</f>
        <v/>
      </c>
      <c r="E49" s="13" t="str">
        <f aca="false">IF($A49="","",IFERROR(IF(_xlfn.MAXIFS('Restock Log'!$D:$D,'Restock Log'!$B:$B,A49)=0,"None",_xlfn.MAXIFS('Restock Log'!$D:$D,'Restock Log'!$B:$B,A49)),"None"))</f>
        <v/>
      </c>
      <c r="F49" s="13" t="str">
        <f aca="false">IF($A49="","",IF(E49="None","",E49+D49))</f>
        <v/>
      </c>
      <c r="G49" s="14" t="str">
        <f aca="true">IF($A49="","",IF(F49="","",F49-TODAY()))</f>
        <v/>
      </c>
      <c r="H49" s="14" t="str">
        <f aca="false">IF($A49="","",Properties!G40)</f>
        <v/>
      </c>
      <c r="I49" s="15" t="str">
        <f aca="false">IF($A49="","",IF(H49="Y","URGENT",IF(E49="None","NOT SET",IF(G49&lt;0,"OVERDUE",IF(G49&lt;=7,"DUE SOON","OK")))))</f>
        <v/>
      </c>
    </row>
    <row r="50" customFormat="false" ht="15" hidden="false" customHeight="false" outlineLevel="0" collapsed="false">
      <c r="A50" s="12" t="str">
        <f aca="false">IF(Properties!A41="","",Properties!A41)</f>
        <v/>
      </c>
      <c r="B50" s="12" t="str">
        <f aca="false">IF($A50="","",Properties!B41)</f>
        <v/>
      </c>
      <c r="C50" s="12" t="str">
        <f aca="false">IF($A50="","",Properties!C41)</f>
        <v/>
      </c>
      <c r="D50" s="12" t="str">
        <f aca="false">IF($A50="","",Properties!F41)</f>
        <v/>
      </c>
      <c r="E50" s="13" t="str">
        <f aca="false">IF($A50="","",IFERROR(IF(_xlfn.MAXIFS('Restock Log'!$D:$D,'Restock Log'!$B:$B,A50)=0,"None",_xlfn.MAXIFS('Restock Log'!$D:$D,'Restock Log'!$B:$B,A50)),"None"))</f>
        <v/>
      </c>
      <c r="F50" s="13" t="str">
        <f aca="false">IF($A50="","",IF(E50="None","",E50+D50))</f>
        <v/>
      </c>
      <c r="G50" s="14" t="str">
        <f aca="true">IF($A50="","",IF(F50="","",F50-TODAY()))</f>
        <v/>
      </c>
      <c r="H50" s="14" t="str">
        <f aca="false">IF($A50="","",Properties!G41)</f>
        <v/>
      </c>
      <c r="I50" s="15" t="str">
        <f aca="false">IF($A50="","",IF(H50="Y","URGENT",IF(E50="None","NOT SET",IF(G50&lt;0,"OVERDUE",IF(G50&lt;=7,"DUE SOON","OK")))))</f>
        <v/>
      </c>
    </row>
    <row r="51" customFormat="false" ht="15" hidden="false" customHeight="false" outlineLevel="0" collapsed="false">
      <c r="A51" s="12" t="str">
        <f aca="false">IF(Properties!A42="","",Properties!A42)</f>
        <v/>
      </c>
      <c r="B51" s="12" t="str">
        <f aca="false">IF($A51="","",Properties!B42)</f>
        <v/>
      </c>
      <c r="C51" s="12" t="str">
        <f aca="false">IF($A51="","",Properties!C42)</f>
        <v/>
      </c>
      <c r="D51" s="12" t="str">
        <f aca="false">IF($A51="","",Properties!F42)</f>
        <v/>
      </c>
      <c r="E51" s="13" t="str">
        <f aca="false">IF($A51="","",IFERROR(IF(_xlfn.MAXIFS('Restock Log'!$D:$D,'Restock Log'!$B:$B,A51)=0,"None",_xlfn.MAXIFS('Restock Log'!$D:$D,'Restock Log'!$B:$B,A51)),"None"))</f>
        <v/>
      </c>
      <c r="F51" s="13" t="str">
        <f aca="false">IF($A51="","",IF(E51="None","",E51+D51))</f>
        <v/>
      </c>
      <c r="G51" s="14" t="str">
        <f aca="true">IF($A51="","",IF(F51="","",F51-TODAY()))</f>
        <v/>
      </c>
      <c r="H51" s="14" t="str">
        <f aca="false">IF($A51="","",Properties!G42)</f>
        <v/>
      </c>
      <c r="I51" s="15" t="str">
        <f aca="false">IF($A51="","",IF(H51="Y","URGENT",IF(E51="None","NOT SET",IF(G51&lt;0,"OVERDUE",IF(G51&lt;=7,"DUE SOON","OK")))))</f>
        <v/>
      </c>
    </row>
    <row r="52" customFormat="false" ht="15" hidden="false" customHeight="false" outlineLevel="0" collapsed="false">
      <c r="A52" s="12" t="str">
        <f aca="false">IF(Properties!A43="","",Properties!A43)</f>
        <v/>
      </c>
      <c r="B52" s="12" t="str">
        <f aca="false">IF($A52="","",Properties!B43)</f>
        <v/>
      </c>
      <c r="C52" s="12" t="str">
        <f aca="false">IF($A52="","",Properties!C43)</f>
        <v/>
      </c>
      <c r="D52" s="12" t="str">
        <f aca="false">IF($A52="","",Properties!F43)</f>
        <v/>
      </c>
      <c r="E52" s="13" t="str">
        <f aca="false">IF($A52="","",IFERROR(IF(_xlfn.MAXIFS('Restock Log'!$D:$D,'Restock Log'!$B:$B,A52)=0,"None",_xlfn.MAXIFS('Restock Log'!$D:$D,'Restock Log'!$B:$B,A52)),"None"))</f>
        <v/>
      </c>
      <c r="F52" s="13" t="str">
        <f aca="false">IF($A52="","",IF(E52="None","",E52+D52))</f>
        <v/>
      </c>
      <c r="G52" s="14" t="str">
        <f aca="true">IF($A52="","",IF(F52="","",F52-TODAY()))</f>
        <v/>
      </c>
      <c r="H52" s="14" t="str">
        <f aca="false">IF($A52="","",Properties!G43)</f>
        <v/>
      </c>
      <c r="I52" s="15" t="str">
        <f aca="false">IF($A52="","",IF(H52="Y","URGENT",IF(E52="None","NOT SET",IF(G52&lt;0,"OVERDUE",IF(G52&lt;=7,"DUE SOON","OK")))))</f>
        <v/>
      </c>
    </row>
    <row r="53" customFormat="false" ht="15" hidden="false" customHeight="false" outlineLevel="0" collapsed="false">
      <c r="A53" s="12" t="str">
        <f aca="false">IF(Properties!A44="","",Properties!A44)</f>
        <v/>
      </c>
      <c r="B53" s="12" t="str">
        <f aca="false">IF($A53="","",Properties!B44)</f>
        <v/>
      </c>
      <c r="C53" s="12" t="str">
        <f aca="false">IF($A53="","",Properties!C44)</f>
        <v/>
      </c>
      <c r="D53" s="12" t="str">
        <f aca="false">IF($A53="","",Properties!F44)</f>
        <v/>
      </c>
      <c r="E53" s="13" t="str">
        <f aca="false">IF($A53="","",IFERROR(IF(_xlfn.MAXIFS('Restock Log'!$D:$D,'Restock Log'!$B:$B,A53)=0,"None",_xlfn.MAXIFS('Restock Log'!$D:$D,'Restock Log'!$B:$B,A53)),"None"))</f>
        <v/>
      </c>
      <c r="F53" s="13" t="str">
        <f aca="false">IF($A53="","",IF(E53="None","",E53+D53))</f>
        <v/>
      </c>
      <c r="G53" s="14" t="str">
        <f aca="true">IF($A53="","",IF(F53="","",F53-TODAY()))</f>
        <v/>
      </c>
      <c r="H53" s="14" t="str">
        <f aca="false">IF($A53="","",Properties!G44)</f>
        <v/>
      </c>
      <c r="I53" s="15" t="str">
        <f aca="false">IF($A53="","",IF(H53="Y","URGENT",IF(E53="None","NOT SET",IF(G53&lt;0,"OVERDUE",IF(G53&lt;=7,"DUE SOON","OK")))))</f>
        <v/>
      </c>
    </row>
    <row r="54" customFormat="false" ht="15" hidden="false" customHeight="false" outlineLevel="0" collapsed="false">
      <c r="A54" s="12" t="str">
        <f aca="false">IF(Properties!A45="","",Properties!A45)</f>
        <v/>
      </c>
      <c r="B54" s="12" t="str">
        <f aca="false">IF($A54="","",Properties!B45)</f>
        <v/>
      </c>
      <c r="C54" s="12" t="str">
        <f aca="false">IF($A54="","",Properties!C45)</f>
        <v/>
      </c>
      <c r="D54" s="12" t="str">
        <f aca="false">IF($A54="","",Properties!F45)</f>
        <v/>
      </c>
      <c r="E54" s="13" t="str">
        <f aca="false">IF($A54="","",IFERROR(IF(_xlfn.MAXIFS('Restock Log'!$D:$D,'Restock Log'!$B:$B,A54)=0,"None",_xlfn.MAXIFS('Restock Log'!$D:$D,'Restock Log'!$B:$B,A54)),"None"))</f>
        <v/>
      </c>
      <c r="F54" s="13" t="str">
        <f aca="false">IF($A54="","",IF(E54="None","",E54+D54))</f>
        <v/>
      </c>
      <c r="G54" s="14" t="str">
        <f aca="true">IF($A54="","",IF(F54="","",F54-TODAY()))</f>
        <v/>
      </c>
      <c r="H54" s="14" t="str">
        <f aca="false">IF($A54="","",Properties!G45)</f>
        <v/>
      </c>
      <c r="I54" s="15" t="str">
        <f aca="false">IF($A54="","",IF(H54="Y","URGENT",IF(E54="None","NOT SET",IF(G54&lt;0,"OVERDUE",IF(G54&lt;=7,"DUE SOON","OK")))))</f>
        <v/>
      </c>
    </row>
    <row r="55" customFormat="false" ht="15" hidden="false" customHeight="false" outlineLevel="0" collapsed="false">
      <c r="A55" s="12" t="str">
        <f aca="false">IF(Properties!A46="","",Properties!A46)</f>
        <v/>
      </c>
      <c r="B55" s="12" t="str">
        <f aca="false">IF($A55="","",Properties!B46)</f>
        <v/>
      </c>
      <c r="C55" s="12" t="str">
        <f aca="false">IF($A55="","",Properties!C46)</f>
        <v/>
      </c>
      <c r="D55" s="12" t="str">
        <f aca="false">IF($A55="","",Properties!F46)</f>
        <v/>
      </c>
      <c r="E55" s="13" t="str">
        <f aca="false">IF($A55="","",IFERROR(IF(_xlfn.MAXIFS('Restock Log'!$D:$D,'Restock Log'!$B:$B,A55)=0,"None",_xlfn.MAXIFS('Restock Log'!$D:$D,'Restock Log'!$B:$B,A55)),"None"))</f>
        <v/>
      </c>
      <c r="F55" s="13" t="str">
        <f aca="false">IF($A55="","",IF(E55="None","",E55+D55))</f>
        <v/>
      </c>
      <c r="G55" s="14" t="str">
        <f aca="true">IF($A55="","",IF(F55="","",F55-TODAY()))</f>
        <v/>
      </c>
      <c r="H55" s="14" t="str">
        <f aca="false">IF($A55="","",Properties!G46)</f>
        <v/>
      </c>
      <c r="I55" s="15" t="str">
        <f aca="false">IF($A55="","",IF(H55="Y","URGENT",IF(E55="None","NOT SET",IF(G55&lt;0,"OVERDUE",IF(G55&lt;=7,"DUE SOON","OK")))))</f>
        <v/>
      </c>
    </row>
    <row r="56" customFormat="false" ht="15" hidden="false" customHeight="false" outlineLevel="0" collapsed="false">
      <c r="A56" s="12" t="str">
        <f aca="false">IF(Properties!A47="","",Properties!A47)</f>
        <v/>
      </c>
      <c r="B56" s="12" t="str">
        <f aca="false">IF($A56="","",Properties!B47)</f>
        <v/>
      </c>
      <c r="C56" s="12" t="str">
        <f aca="false">IF($A56="","",Properties!C47)</f>
        <v/>
      </c>
      <c r="D56" s="12" t="str">
        <f aca="false">IF($A56="","",Properties!F47)</f>
        <v/>
      </c>
      <c r="E56" s="13" t="str">
        <f aca="false">IF($A56="","",IFERROR(IF(_xlfn.MAXIFS('Restock Log'!$D:$D,'Restock Log'!$B:$B,A56)=0,"None",_xlfn.MAXIFS('Restock Log'!$D:$D,'Restock Log'!$B:$B,A56)),"None"))</f>
        <v/>
      </c>
      <c r="F56" s="13" t="str">
        <f aca="false">IF($A56="","",IF(E56="None","",E56+D56))</f>
        <v/>
      </c>
      <c r="G56" s="14" t="str">
        <f aca="true">IF($A56="","",IF(F56="","",F56-TODAY()))</f>
        <v/>
      </c>
      <c r="H56" s="14" t="str">
        <f aca="false">IF($A56="","",Properties!G47)</f>
        <v/>
      </c>
      <c r="I56" s="15" t="str">
        <f aca="false">IF($A56="","",IF(H56="Y","URGENT",IF(E56="None","NOT SET",IF(G56&lt;0,"OVERDUE",IF(G56&lt;=7,"DUE SOON","OK")))))</f>
        <v/>
      </c>
    </row>
    <row r="57" customFormat="false" ht="15" hidden="false" customHeight="false" outlineLevel="0" collapsed="false">
      <c r="A57" s="12" t="str">
        <f aca="false">IF(Properties!A48="","",Properties!A48)</f>
        <v/>
      </c>
      <c r="B57" s="12" t="str">
        <f aca="false">IF($A57="","",Properties!B48)</f>
        <v/>
      </c>
      <c r="C57" s="12" t="str">
        <f aca="false">IF($A57="","",Properties!C48)</f>
        <v/>
      </c>
      <c r="D57" s="12" t="str">
        <f aca="false">IF($A57="","",Properties!F48)</f>
        <v/>
      </c>
      <c r="E57" s="13" t="str">
        <f aca="false">IF($A57="","",IFERROR(IF(_xlfn.MAXIFS('Restock Log'!$D:$D,'Restock Log'!$B:$B,A57)=0,"None",_xlfn.MAXIFS('Restock Log'!$D:$D,'Restock Log'!$B:$B,A57)),"None"))</f>
        <v/>
      </c>
      <c r="F57" s="13" t="str">
        <f aca="false">IF($A57="","",IF(E57="None","",E57+D57))</f>
        <v/>
      </c>
      <c r="G57" s="14" t="str">
        <f aca="true">IF($A57="","",IF(F57="","",F57-TODAY()))</f>
        <v/>
      </c>
      <c r="H57" s="14" t="str">
        <f aca="false">IF($A57="","",Properties!G48)</f>
        <v/>
      </c>
      <c r="I57" s="15" t="str">
        <f aca="false">IF($A57="","",IF(H57="Y","URGENT",IF(E57="None","NOT SET",IF(G57&lt;0,"OVERDUE",IF(G57&lt;=7,"DUE SOON","OK")))))</f>
        <v/>
      </c>
    </row>
    <row r="58" customFormat="false" ht="15" hidden="false" customHeight="false" outlineLevel="0" collapsed="false">
      <c r="A58" s="12" t="str">
        <f aca="false">IF(Properties!A49="","",Properties!A49)</f>
        <v/>
      </c>
      <c r="B58" s="12" t="str">
        <f aca="false">IF($A58="","",Properties!B49)</f>
        <v/>
      </c>
      <c r="C58" s="12" t="str">
        <f aca="false">IF($A58="","",Properties!C49)</f>
        <v/>
      </c>
      <c r="D58" s="12" t="str">
        <f aca="false">IF($A58="","",Properties!F49)</f>
        <v/>
      </c>
      <c r="E58" s="13" t="str">
        <f aca="false">IF($A58="","",IFERROR(IF(_xlfn.MAXIFS('Restock Log'!$D:$D,'Restock Log'!$B:$B,A58)=0,"None",_xlfn.MAXIFS('Restock Log'!$D:$D,'Restock Log'!$B:$B,A58)),"None"))</f>
        <v/>
      </c>
      <c r="F58" s="13" t="str">
        <f aca="false">IF($A58="","",IF(E58="None","",E58+D58))</f>
        <v/>
      </c>
      <c r="G58" s="14" t="str">
        <f aca="true">IF($A58="","",IF(F58="","",F58-TODAY()))</f>
        <v/>
      </c>
      <c r="H58" s="14" t="str">
        <f aca="false">IF($A58="","",Properties!G49)</f>
        <v/>
      </c>
      <c r="I58" s="15" t="str">
        <f aca="false">IF($A58="","",IF(H58="Y","URGENT",IF(E58="None","NOT SET",IF(G58&lt;0,"OVERDUE",IF(G58&lt;=7,"DUE SOON","OK")))))</f>
        <v/>
      </c>
    </row>
    <row r="59" customFormat="false" ht="15" hidden="false" customHeight="false" outlineLevel="0" collapsed="false">
      <c r="A59" s="12" t="str">
        <f aca="false">IF(Properties!A50="","",Properties!A50)</f>
        <v/>
      </c>
      <c r="B59" s="12" t="str">
        <f aca="false">IF($A59="","",Properties!B50)</f>
        <v/>
      </c>
      <c r="C59" s="12" t="str">
        <f aca="false">IF($A59="","",Properties!C50)</f>
        <v/>
      </c>
      <c r="D59" s="12" t="str">
        <f aca="false">IF($A59="","",Properties!F50)</f>
        <v/>
      </c>
      <c r="E59" s="13" t="str">
        <f aca="false">IF($A59="","",IFERROR(IF(_xlfn.MAXIFS('Restock Log'!$D:$D,'Restock Log'!$B:$B,A59)=0,"None",_xlfn.MAXIFS('Restock Log'!$D:$D,'Restock Log'!$B:$B,A59)),"None"))</f>
        <v/>
      </c>
      <c r="F59" s="13" t="str">
        <f aca="false">IF($A59="","",IF(E59="None","",E59+D59))</f>
        <v/>
      </c>
      <c r="G59" s="14" t="str">
        <f aca="true">IF($A59="","",IF(F59="","",F59-TODAY()))</f>
        <v/>
      </c>
      <c r="H59" s="14" t="str">
        <f aca="false">IF($A59="","",Properties!G50)</f>
        <v/>
      </c>
      <c r="I59" s="15" t="str">
        <f aca="false">IF($A59="","",IF(H59="Y","URGENT",IF(E59="None","NOT SET",IF(G59&lt;0,"OVERDUE",IF(G59&lt;=7,"DUE SOON","OK")))))</f>
        <v/>
      </c>
    </row>
    <row r="60" customFormat="false" ht="15" hidden="false" customHeight="false" outlineLevel="0" collapsed="false">
      <c r="A60" s="12" t="str">
        <f aca="false">IF(Properties!A51="","",Properties!A51)</f>
        <v/>
      </c>
      <c r="B60" s="12" t="str">
        <f aca="false">IF($A60="","",Properties!B51)</f>
        <v/>
      </c>
      <c r="C60" s="12" t="str">
        <f aca="false">IF($A60="","",Properties!C51)</f>
        <v/>
      </c>
      <c r="D60" s="12" t="str">
        <f aca="false">IF($A60="","",Properties!F51)</f>
        <v/>
      </c>
      <c r="E60" s="13" t="str">
        <f aca="false">IF($A60="","",IFERROR(IF(_xlfn.MAXIFS('Restock Log'!$D:$D,'Restock Log'!$B:$B,A60)=0,"None",_xlfn.MAXIFS('Restock Log'!$D:$D,'Restock Log'!$B:$B,A60)),"None"))</f>
        <v/>
      </c>
      <c r="F60" s="13" t="str">
        <f aca="false">IF($A60="","",IF(E60="None","",E60+D60))</f>
        <v/>
      </c>
      <c r="G60" s="14" t="str">
        <f aca="true">IF($A60="","",IF(F60="","",F60-TODAY()))</f>
        <v/>
      </c>
      <c r="H60" s="14" t="str">
        <f aca="false">IF($A60="","",Properties!G51)</f>
        <v/>
      </c>
      <c r="I60" s="15" t="str">
        <f aca="false">IF($A60="","",IF(H60="Y","URGENT",IF(E60="None","NOT SET",IF(G60&lt;0,"OVERDUE",IF(G60&lt;=7,"DUE SOON","OK")))))</f>
        <v/>
      </c>
    </row>
    <row r="61" customFormat="false" ht="15" hidden="false" customHeight="false" outlineLevel="0" collapsed="false">
      <c r="A61" s="12" t="str">
        <f aca="false">IF(Properties!A52="","",Properties!A52)</f>
        <v/>
      </c>
      <c r="B61" s="12" t="str">
        <f aca="false">IF($A61="","",Properties!B52)</f>
        <v/>
      </c>
      <c r="C61" s="12" t="str">
        <f aca="false">IF($A61="","",Properties!C52)</f>
        <v/>
      </c>
      <c r="D61" s="12" t="str">
        <f aca="false">IF($A61="","",Properties!F52)</f>
        <v/>
      </c>
      <c r="E61" s="13" t="str">
        <f aca="false">IF($A61="","",IFERROR(IF(_xlfn.MAXIFS('Restock Log'!$D:$D,'Restock Log'!$B:$B,A61)=0,"None",_xlfn.MAXIFS('Restock Log'!$D:$D,'Restock Log'!$B:$B,A61)),"None"))</f>
        <v/>
      </c>
      <c r="F61" s="13" t="str">
        <f aca="false">IF($A61="","",IF(E61="None","",E61+D61))</f>
        <v/>
      </c>
      <c r="G61" s="14" t="str">
        <f aca="true">IF($A61="","",IF(F61="","",F61-TODAY()))</f>
        <v/>
      </c>
      <c r="H61" s="14" t="str">
        <f aca="false">IF($A61="","",Properties!G52)</f>
        <v/>
      </c>
      <c r="I61" s="15" t="str">
        <f aca="false">IF($A61="","",IF(H61="Y","URGENT",IF(E61="None","NOT SET",IF(G61&lt;0,"OVERDUE",IF(G61&lt;=7,"DUE SOON","OK")))))</f>
        <v/>
      </c>
    </row>
    <row r="62" customFormat="false" ht="15" hidden="false" customHeight="false" outlineLevel="0" collapsed="false">
      <c r="A62" s="12" t="str">
        <f aca="false">IF(Properties!A53="","",Properties!A53)</f>
        <v/>
      </c>
      <c r="B62" s="12" t="str">
        <f aca="false">IF($A62="","",Properties!B53)</f>
        <v/>
      </c>
      <c r="C62" s="12" t="str">
        <f aca="false">IF($A62="","",Properties!C53)</f>
        <v/>
      </c>
      <c r="D62" s="12" t="str">
        <f aca="false">IF($A62="","",Properties!F53)</f>
        <v/>
      </c>
      <c r="E62" s="13" t="str">
        <f aca="false">IF($A62="","",IFERROR(IF(_xlfn.MAXIFS('Restock Log'!$D:$D,'Restock Log'!$B:$B,A62)=0,"None",_xlfn.MAXIFS('Restock Log'!$D:$D,'Restock Log'!$B:$B,A62)),"None"))</f>
        <v/>
      </c>
      <c r="F62" s="13" t="str">
        <f aca="false">IF($A62="","",IF(E62="None","",E62+D62))</f>
        <v/>
      </c>
      <c r="G62" s="14" t="str">
        <f aca="true">IF($A62="","",IF(F62="","",F62-TODAY()))</f>
        <v/>
      </c>
      <c r="H62" s="14" t="str">
        <f aca="false">IF($A62="","",Properties!G53)</f>
        <v/>
      </c>
      <c r="I62" s="15" t="str">
        <f aca="false">IF($A62="","",IF(H62="Y","URGENT",IF(E62="None","NOT SET",IF(G62&lt;0,"OVERDUE",IF(G62&lt;=7,"DUE SOON","OK")))))</f>
        <v/>
      </c>
    </row>
    <row r="63" customFormat="false" ht="15" hidden="false" customHeight="false" outlineLevel="0" collapsed="false">
      <c r="A63" s="12" t="str">
        <f aca="false">IF(Properties!A54="","",Properties!A54)</f>
        <v/>
      </c>
      <c r="B63" s="12" t="str">
        <f aca="false">IF($A63="","",Properties!B54)</f>
        <v/>
      </c>
      <c r="C63" s="12" t="str">
        <f aca="false">IF($A63="","",Properties!C54)</f>
        <v/>
      </c>
      <c r="D63" s="12" t="str">
        <f aca="false">IF($A63="","",Properties!F54)</f>
        <v/>
      </c>
      <c r="E63" s="13" t="str">
        <f aca="false">IF($A63="","",IFERROR(IF(_xlfn.MAXIFS('Restock Log'!$D:$D,'Restock Log'!$B:$B,A63)=0,"None",_xlfn.MAXIFS('Restock Log'!$D:$D,'Restock Log'!$B:$B,A63)),"None"))</f>
        <v/>
      </c>
      <c r="F63" s="13" t="str">
        <f aca="false">IF($A63="","",IF(E63="None","",E63+D63))</f>
        <v/>
      </c>
      <c r="G63" s="14" t="str">
        <f aca="true">IF($A63="","",IF(F63="","",F63-TODAY()))</f>
        <v/>
      </c>
      <c r="H63" s="14" t="str">
        <f aca="false">IF($A63="","",Properties!G54)</f>
        <v/>
      </c>
      <c r="I63" s="15" t="str">
        <f aca="false">IF($A63="","",IF(H63="Y","URGENT",IF(E63="None","NOT SET",IF(G63&lt;0,"OVERDUE",IF(G63&lt;=7,"DUE SOON","OK")))))</f>
        <v/>
      </c>
    </row>
    <row r="64" customFormat="false" ht="15" hidden="false" customHeight="false" outlineLevel="0" collapsed="false">
      <c r="A64" s="12" t="str">
        <f aca="false">IF(Properties!A55="","",Properties!A55)</f>
        <v/>
      </c>
      <c r="B64" s="12" t="str">
        <f aca="false">IF($A64="","",Properties!B55)</f>
        <v/>
      </c>
      <c r="C64" s="12" t="str">
        <f aca="false">IF($A64="","",Properties!C55)</f>
        <v/>
      </c>
      <c r="D64" s="12" t="str">
        <f aca="false">IF($A64="","",Properties!F55)</f>
        <v/>
      </c>
      <c r="E64" s="13" t="str">
        <f aca="false">IF($A64="","",IFERROR(IF(_xlfn.MAXIFS('Restock Log'!$D:$D,'Restock Log'!$B:$B,A64)=0,"None",_xlfn.MAXIFS('Restock Log'!$D:$D,'Restock Log'!$B:$B,A64)),"None"))</f>
        <v/>
      </c>
      <c r="F64" s="13" t="str">
        <f aca="false">IF($A64="","",IF(E64="None","",E64+D64))</f>
        <v/>
      </c>
      <c r="G64" s="14" t="str">
        <f aca="true">IF($A64="","",IF(F64="","",F64-TODAY()))</f>
        <v/>
      </c>
      <c r="H64" s="14" t="str">
        <f aca="false">IF($A64="","",Properties!G55)</f>
        <v/>
      </c>
      <c r="I64" s="15" t="str">
        <f aca="false">IF($A64="","",IF(H64="Y","URGENT",IF(E64="None","NOT SET",IF(G64&lt;0,"OVERDUE",IF(G64&lt;=7,"DUE SOON","OK")))))</f>
        <v/>
      </c>
    </row>
    <row r="65" customFormat="false" ht="15" hidden="false" customHeight="false" outlineLevel="0" collapsed="false">
      <c r="A65" s="12" t="str">
        <f aca="false">IF(Properties!A56="","",Properties!A56)</f>
        <v/>
      </c>
      <c r="B65" s="12" t="str">
        <f aca="false">IF($A65="","",Properties!B56)</f>
        <v/>
      </c>
      <c r="C65" s="12" t="str">
        <f aca="false">IF($A65="","",Properties!C56)</f>
        <v/>
      </c>
      <c r="D65" s="12" t="str">
        <f aca="false">IF($A65="","",Properties!F56)</f>
        <v/>
      </c>
      <c r="E65" s="13" t="str">
        <f aca="false">IF($A65="","",IFERROR(IF(_xlfn.MAXIFS('Restock Log'!$D:$D,'Restock Log'!$B:$B,A65)=0,"None",_xlfn.MAXIFS('Restock Log'!$D:$D,'Restock Log'!$B:$B,A65)),"None"))</f>
        <v/>
      </c>
      <c r="F65" s="13" t="str">
        <f aca="false">IF($A65="","",IF(E65="None","",E65+D65))</f>
        <v/>
      </c>
      <c r="G65" s="14" t="str">
        <f aca="true">IF($A65="","",IF(F65="","",F65-TODAY()))</f>
        <v/>
      </c>
      <c r="H65" s="14" t="str">
        <f aca="false">IF($A65="","",Properties!G56)</f>
        <v/>
      </c>
      <c r="I65" s="15" t="str">
        <f aca="false">IF($A65="","",IF(H65="Y","URGENT",IF(E65="None","NOT SET",IF(G65&lt;0,"OVERDUE",IF(G65&lt;=7,"DUE SOON","OK")))))</f>
        <v/>
      </c>
    </row>
    <row r="66" customFormat="false" ht="15" hidden="false" customHeight="false" outlineLevel="0" collapsed="false">
      <c r="A66" s="12" t="str">
        <f aca="false">IF(Properties!A57="","",Properties!A57)</f>
        <v/>
      </c>
      <c r="B66" s="12" t="str">
        <f aca="false">IF($A66="","",Properties!B57)</f>
        <v/>
      </c>
      <c r="C66" s="12" t="str">
        <f aca="false">IF($A66="","",Properties!C57)</f>
        <v/>
      </c>
      <c r="D66" s="12" t="str">
        <f aca="false">IF($A66="","",Properties!F57)</f>
        <v/>
      </c>
      <c r="E66" s="13" t="str">
        <f aca="false">IF($A66="","",IFERROR(IF(_xlfn.MAXIFS('Restock Log'!$D:$D,'Restock Log'!$B:$B,A66)=0,"None",_xlfn.MAXIFS('Restock Log'!$D:$D,'Restock Log'!$B:$B,A66)),"None"))</f>
        <v/>
      </c>
      <c r="F66" s="13" t="str">
        <f aca="false">IF($A66="","",IF(E66="None","",E66+D66))</f>
        <v/>
      </c>
      <c r="G66" s="14" t="str">
        <f aca="true">IF($A66="","",IF(F66="","",F66-TODAY()))</f>
        <v/>
      </c>
      <c r="H66" s="14" t="str">
        <f aca="false">IF($A66="","",Properties!G57)</f>
        <v/>
      </c>
      <c r="I66" s="15" t="str">
        <f aca="false">IF($A66="","",IF(H66="Y","URGENT",IF(E66="None","NOT SET",IF(G66&lt;0,"OVERDUE",IF(G66&lt;=7,"DUE SOON","OK")))))</f>
        <v/>
      </c>
    </row>
    <row r="67" customFormat="false" ht="15" hidden="false" customHeight="false" outlineLevel="0" collapsed="false">
      <c r="A67" s="12" t="str">
        <f aca="false">IF(Properties!A58="","",Properties!A58)</f>
        <v/>
      </c>
      <c r="B67" s="12" t="str">
        <f aca="false">IF($A67="","",Properties!B58)</f>
        <v/>
      </c>
      <c r="C67" s="12" t="str">
        <f aca="false">IF($A67="","",Properties!C58)</f>
        <v/>
      </c>
      <c r="D67" s="12" t="str">
        <f aca="false">IF($A67="","",Properties!F58)</f>
        <v/>
      </c>
      <c r="E67" s="13" t="str">
        <f aca="false">IF($A67="","",IFERROR(IF(_xlfn.MAXIFS('Restock Log'!$D:$D,'Restock Log'!$B:$B,A67)=0,"None",_xlfn.MAXIFS('Restock Log'!$D:$D,'Restock Log'!$B:$B,A67)),"None"))</f>
        <v/>
      </c>
      <c r="F67" s="13" t="str">
        <f aca="false">IF($A67="","",IF(E67="None","",E67+D67))</f>
        <v/>
      </c>
      <c r="G67" s="14" t="str">
        <f aca="true">IF($A67="","",IF(F67="","",F67-TODAY()))</f>
        <v/>
      </c>
      <c r="H67" s="14" t="str">
        <f aca="false">IF($A67="","",Properties!G58)</f>
        <v/>
      </c>
      <c r="I67" s="15" t="str">
        <f aca="false">IF($A67="","",IF(H67="Y","URGENT",IF(E67="None","NOT SET",IF(G67&lt;0,"OVERDUE",IF(G67&lt;=7,"DUE SOON","OK")))))</f>
        <v/>
      </c>
    </row>
    <row r="68" customFormat="false" ht="15" hidden="false" customHeight="false" outlineLevel="0" collapsed="false">
      <c r="A68" s="12" t="str">
        <f aca="false">IF(Properties!A59="","",Properties!A59)</f>
        <v/>
      </c>
      <c r="B68" s="12" t="str">
        <f aca="false">IF($A68="","",Properties!B59)</f>
        <v/>
      </c>
      <c r="C68" s="12" t="str">
        <f aca="false">IF($A68="","",Properties!C59)</f>
        <v/>
      </c>
      <c r="D68" s="12" t="str">
        <f aca="false">IF($A68="","",Properties!F59)</f>
        <v/>
      </c>
      <c r="E68" s="13" t="str">
        <f aca="false">IF($A68="","",IFERROR(IF(_xlfn.MAXIFS('Restock Log'!$D:$D,'Restock Log'!$B:$B,A68)=0,"None",_xlfn.MAXIFS('Restock Log'!$D:$D,'Restock Log'!$B:$B,A68)),"None"))</f>
        <v/>
      </c>
      <c r="F68" s="13" t="str">
        <f aca="false">IF($A68="","",IF(E68="None","",E68+D68))</f>
        <v/>
      </c>
      <c r="G68" s="14" t="str">
        <f aca="true">IF($A68="","",IF(F68="","",F68-TODAY()))</f>
        <v/>
      </c>
      <c r="H68" s="14" t="str">
        <f aca="false">IF($A68="","",Properties!G59)</f>
        <v/>
      </c>
      <c r="I68" s="15" t="str">
        <f aca="false">IF($A68="","",IF(H68="Y","URGENT",IF(E68="None","NOT SET",IF(G68&lt;0,"OVERDUE",IF(G68&lt;=7,"DUE SOON","OK")))))</f>
        <v/>
      </c>
    </row>
    <row r="69" customFormat="false" ht="15" hidden="false" customHeight="false" outlineLevel="0" collapsed="false">
      <c r="A69" s="12" t="str">
        <f aca="false">IF(Properties!A60="","",Properties!A60)</f>
        <v/>
      </c>
      <c r="B69" s="12" t="str">
        <f aca="false">IF($A69="","",Properties!B60)</f>
        <v/>
      </c>
      <c r="C69" s="12" t="str">
        <f aca="false">IF($A69="","",Properties!C60)</f>
        <v/>
      </c>
      <c r="D69" s="12" t="str">
        <f aca="false">IF($A69="","",Properties!F60)</f>
        <v/>
      </c>
      <c r="E69" s="13" t="str">
        <f aca="false">IF($A69="","",IFERROR(IF(_xlfn.MAXIFS('Restock Log'!$D:$D,'Restock Log'!$B:$B,A69)=0,"None",_xlfn.MAXIFS('Restock Log'!$D:$D,'Restock Log'!$B:$B,A69)),"None"))</f>
        <v/>
      </c>
      <c r="F69" s="13" t="str">
        <f aca="false">IF($A69="","",IF(E69="None","",E69+D69))</f>
        <v/>
      </c>
      <c r="G69" s="14" t="str">
        <f aca="true">IF($A69="","",IF(F69="","",F69-TODAY()))</f>
        <v/>
      </c>
      <c r="H69" s="14" t="str">
        <f aca="false">IF($A69="","",Properties!G60)</f>
        <v/>
      </c>
      <c r="I69" s="15" t="str">
        <f aca="false">IF($A69="","",IF(H69="Y","URGENT",IF(E69="None","NOT SET",IF(G69&lt;0,"OVERDUE",IF(G69&lt;=7,"DUE SOON","OK")))))</f>
        <v/>
      </c>
    </row>
    <row r="70" customFormat="false" ht="15" hidden="false" customHeight="false" outlineLevel="0" collapsed="false">
      <c r="A70" s="12" t="str">
        <f aca="false">IF(Properties!A61="","",Properties!A61)</f>
        <v/>
      </c>
      <c r="B70" s="12" t="str">
        <f aca="false">IF($A70="","",Properties!B61)</f>
        <v/>
      </c>
      <c r="C70" s="12" t="str">
        <f aca="false">IF($A70="","",Properties!C61)</f>
        <v/>
      </c>
      <c r="D70" s="12" t="str">
        <f aca="false">IF($A70="","",Properties!F61)</f>
        <v/>
      </c>
      <c r="E70" s="13" t="str">
        <f aca="false">IF($A70="","",IFERROR(IF(_xlfn.MAXIFS('Restock Log'!$D:$D,'Restock Log'!$B:$B,A70)=0,"None",_xlfn.MAXIFS('Restock Log'!$D:$D,'Restock Log'!$B:$B,A70)),"None"))</f>
        <v/>
      </c>
      <c r="F70" s="13" t="str">
        <f aca="false">IF($A70="","",IF(E70="None","",E70+D70))</f>
        <v/>
      </c>
      <c r="G70" s="14" t="str">
        <f aca="true">IF($A70="","",IF(F70="","",F70-TODAY()))</f>
        <v/>
      </c>
      <c r="H70" s="14" t="str">
        <f aca="false">IF($A70="","",Properties!G61)</f>
        <v/>
      </c>
      <c r="I70" s="15" t="str">
        <f aca="false">IF($A70="","",IF(H70="Y","URGENT",IF(E70="None","NOT SET",IF(G70&lt;0,"OVERDUE",IF(G70&lt;=7,"DUE SOON","OK")))))</f>
        <v/>
      </c>
    </row>
    <row r="71" customFormat="false" ht="15" hidden="false" customHeight="false" outlineLevel="0" collapsed="false">
      <c r="A71" s="12" t="str">
        <f aca="false">IF(Properties!A62="","",Properties!A62)</f>
        <v/>
      </c>
      <c r="B71" s="12" t="str">
        <f aca="false">IF($A71="","",Properties!B62)</f>
        <v/>
      </c>
      <c r="C71" s="12" t="str">
        <f aca="false">IF($A71="","",Properties!C62)</f>
        <v/>
      </c>
      <c r="D71" s="12" t="str">
        <f aca="false">IF($A71="","",Properties!F62)</f>
        <v/>
      </c>
      <c r="E71" s="13" t="str">
        <f aca="false">IF($A71="","",IFERROR(IF(_xlfn.MAXIFS('Restock Log'!$D:$D,'Restock Log'!$B:$B,A71)=0,"None",_xlfn.MAXIFS('Restock Log'!$D:$D,'Restock Log'!$B:$B,A71)),"None"))</f>
        <v/>
      </c>
      <c r="F71" s="13" t="str">
        <f aca="false">IF($A71="","",IF(E71="None","",E71+D71))</f>
        <v/>
      </c>
      <c r="G71" s="14" t="str">
        <f aca="true">IF($A71="","",IF(F71="","",F71-TODAY()))</f>
        <v/>
      </c>
      <c r="H71" s="14" t="str">
        <f aca="false">IF($A71="","",Properties!G62)</f>
        <v/>
      </c>
      <c r="I71" s="15" t="str">
        <f aca="false">IF($A71="","",IF(H71="Y","URGENT",IF(E71="None","NOT SET",IF(G71&lt;0,"OVERDUE",IF(G71&lt;=7,"DUE SOON","OK")))))</f>
        <v/>
      </c>
    </row>
    <row r="72" customFormat="false" ht="15" hidden="false" customHeight="false" outlineLevel="0" collapsed="false">
      <c r="A72" s="12" t="str">
        <f aca="false">IF(Properties!A63="","",Properties!A63)</f>
        <v/>
      </c>
      <c r="B72" s="12" t="str">
        <f aca="false">IF($A72="","",Properties!B63)</f>
        <v/>
      </c>
      <c r="C72" s="12" t="str">
        <f aca="false">IF($A72="","",Properties!C63)</f>
        <v/>
      </c>
      <c r="D72" s="12" t="str">
        <f aca="false">IF($A72="","",Properties!F63)</f>
        <v/>
      </c>
      <c r="E72" s="13" t="str">
        <f aca="false">IF($A72="","",IFERROR(IF(_xlfn.MAXIFS('Restock Log'!$D:$D,'Restock Log'!$B:$B,A72)=0,"None",_xlfn.MAXIFS('Restock Log'!$D:$D,'Restock Log'!$B:$B,A72)),"None"))</f>
        <v/>
      </c>
      <c r="F72" s="13" t="str">
        <f aca="false">IF($A72="","",IF(E72="None","",E72+D72))</f>
        <v/>
      </c>
      <c r="G72" s="14" t="str">
        <f aca="true">IF($A72="","",IF(F72="","",F72-TODAY()))</f>
        <v/>
      </c>
      <c r="H72" s="14" t="str">
        <f aca="false">IF($A72="","",Properties!G63)</f>
        <v/>
      </c>
      <c r="I72" s="15" t="str">
        <f aca="false">IF($A72="","",IF(H72="Y","URGENT",IF(E72="None","NOT SET",IF(G72&lt;0,"OVERDUE",IF(G72&lt;=7,"DUE SOON","OK")))))</f>
        <v/>
      </c>
    </row>
    <row r="73" customFormat="false" ht="15" hidden="false" customHeight="false" outlineLevel="0" collapsed="false">
      <c r="A73" s="12" t="str">
        <f aca="false">IF(Properties!A64="","",Properties!A64)</f>
        <v/>
      </c>
      <c r="B73" s="12" t="str">
        <f aca="false">IF($A73="","",Properties!B64)</f>
        <v/>
      </c>
      <c r="C73" s="12" t="str">
        <f aca="false">IF($A73="","",Properties!C64)</f>
        <v/>
      </c>
      <c r="D73" s="12" t="str">
        <f aca="false">IF($A73="","",Properties!F64)</f>
        <v/>
      </c>
      <c r="E73" s="13" t="str">
        <f aca="false">IF($A73="","",IFERROR(IF(_xlfn.MAXIFS('Restock Log'!$D:$D,'Restock Log'!$B:$B,A73)=0,"None",_xlfn.MAXIFS('Restock Log'!$D:$D,'Restock Log'!$B:$B,A73)),"None"))</f>
        <v/>
      </c>
      <c r="F73" s="13" t="str">
        <f aca="false">IF($A73="","",IF(E73="None","",E73+D73))</f>
        <v/>
      </c>
      <c r="G73" s="14" t="str">
        <f aca="true">IF($A73="","",IF(F73="","",F73-TODAY()))</f>
        <v/>
      </c>
      <c r="H73" s="14" t="str">
        <f aca="false">IF($A73="","",Properties!G64)</f>
        <v/>
      </c>
      <c r="I73" s="15" t="str">
        <f aca="false">IF($A73="","",IF(H73="Y","URGENT",IF(E73="None","NOT SET",IF(G73&lt;0,"OVERDUE",IF(G73&lt;=7,"DUE SOON","OK")))))</f>
        <v/>
      </c>
    </row>
    <row r="74" customFormat="false" ht="15" hidden="false" customHeight="false" outlineLevel="0" collapsed="false">
      <c r="A74" s="12" t="str">
        <f aca="false">IF(Properties!A65="","",Properties!A65)</f>
        <v/>
      </c>
      <c r="B74" s="12" t="str">
        <f aca="false">IF($A74="","",Properties!B65)</f>
        <v/>
      </c>
      <c r="C74" s="12" t="str">
        <f aca="false">IF($A74="","",Properties!C65)</f>
        <v/>
      </c>
      <c r="D74" s="12" t="str">
        <f aca="false">IF($A74="","",Properties!F65)</f>
        <v/>
      </c>
      <c r="E74" s="13" t="str">
        <f aca="false">IF($A74="","",IFERROR(IF(_xlfn.MAXIFS('Restock Log'!$D:$D,'Restock Log'!$B:$B,A74)=0,"None",_xlfn.MAXIFS('Restock Log'!$D:$D,'Restock Log'!$B:$B,A74)),"None"))</f>
        <v/>
      </c>
      <c r="F74" s="13" t="str">
        <f aca="false">IF($A74="","",IF(E74="None","",E74+D74))</f>
        <v/>
      </c>
      <c r="G74" s="14" t="str">
        <f aca="true">IF($A74="","",IF(F74="","",F74-TODAY()))</f>
        <v/>
      </c>
      <c r="H74" s="14" t="str">
        <f aca="false">IF($A74="","",Properties!G65)</f>
        <v/>
      </c>
      <c r="I74" s="15" t="str">
        <f aca="false">IF($A74="","",IF(H74="Y","URGENT",IF(E74="None","NOT SET",IF(G74&lt;0,"OVERDUE",IF(G74&lt;=7,"DUE SOON","OK")))))</f>
        <v/>
      </c>
    </row>
    <row r="75" customFormat="false" ht="15" hidden="false" customHeight="false" outlineLevel="0" collapsed="false">
      <c r="A75" s="12" t="str">
        <f aca="false">IF(Properties!A66="","",Properties!A66)</f>
        <v/>
      </c>
      <c r="B75" s="12" t="str">
        <f aca="false">IF($A75="","",Properties!B66)</f>
        <v/>
      </c>
      <c r="C75" s="12" t="str">
        <f aca="false">IF($A75="","",Properties!C66)</f>
        <v/>
      </c>
      <c r="D75" s="12" t="str">
        <f aca="false">IF($A75="","",Properties!F66)</f>
        <v/>
      </c>
      <c r="E75" s="13" t="str">
        <f aca="false">IF($A75="","",IFERROR(IF(_xlfn.MAXIFS('Restock Log'!$D:$D,'Restock Log'!$B:$B,A75)=0,"None",_xlfn.MAXIFS('Restock Log'!$D:$D,'Restock Log'!$B:$B,A75)),"None"))</f>
        <v/>
      </c>
      <c r="F75" s="13" t="str">
        <f aca="false">IF($A75="","",IF(E75="None","",E75+D75))</f>
        <v/>
      </c>
      <c r="G75" s="14" t="str">
        <f aca="true">IF($A75="","",IF(F75="","",F75-TODAY()))</f>
        <v/>
      </c>
      <c r="H75" s="14" t="str">
        <f aca="false">IF($A75="","",Properties!G66)</f>
        <v/>
      </c>
      <c r="I75" s="15" t="str">
        <f aca="false">IF($A75="","",IF(H75="Y","URGENT",IF(E75="None","NOT SET",IF(G75&lt;0,"OVERDUE",IF(G75&lt;=7,"DUE SOON","OK")))))</f>
        <v/>
      </c>
    </row>
    <row r="76" customFormat="false" ht="15" hidden="false" customHeight="false" outlineLevel="0" collapsed="false">
      <c r="A76" s="12" t="str">
        <f aca="false">IF(Properties!A67="","",Properties!A67)</f>
        <v/>
      </c>
      <c r="B76" s="12" t="str">
        <f aca="false">IF($A76="","",Properties!B67)</f>
        <v/>
      </c>
      <c r="C76" s="12" t="str">
        <f aca="false">IF($A76="","",Properties!C67)</f>
        <v/>
      </c>
      <c r="D76" s="12" t="str">
        <f aca="false">IF($A76="","",Properties!F67)</f>
        <v/>
      </c>
      <c r="E76" s="13" t="str">
        <f aca="false">IF($A76="","",IFERROR(IF(_xlfn.MAXIFS('Restock Log'!$D:$D,'Restock Log'!$B:$B,A76)=0,"None",_xlfn.MAXIFS('Restock Log'!$D:$D,'Restock Log'!$B:$B,A76)),"None"))</f>
        <v/>
      </c>
      <c r="F76" s="13" t="str">
        <f aca="false">IF($A76="","",IF(E76="None","",E76+D76))</f>
        <v/>
      </c>
      <c r="G76" s="14" t="str">
        <f aca="true">IF($A76="","",IF(F76="","",F76-TODAY()))</f>
        <v/>
      </c>
      <c r="H76" s="14" t="str">
        <f aca="false">IF($A76="","",Properties!G67)</f>
        <v/>
      </c>
      <c r="I76" s="15" t="str">
        <f aca="false">IF($A76="","",IF(H76="Y","URGENT",IF(E76="None","NOT SET",IF(G76&lt;0,"OVERDUE",IF(G76&lt;=7,"DUE SOON","OK")))))</f>
        <v/>
      </c>
    </row>
    <row r="77" customFormat="false" ht="15" hidden="false" customHeight="false" outlineLevel="0" collapsed="false">
      <c r="A77" s="12" t="str">
        <f aca="false">IF(Properties!A68="","",Properties!A68)</f>
        <v/>
      </c>
      <c r="B77" s="12" t="str">
        <f aca="false">IF($A77="","",Properties!B68)</f>
        <v/>
      </c>
      <c r="C77" s="12" t="str">
        <f aca="false">IF($A77="","",Properties!C68)</f>
        <v/>
      </c>
      <c r="D77" s="12" t="str">
        <f aca="false">IF($A77="","",Properties!F68)</f>
        <v/>
      </c>
      <c r="E77" s="13" t="str">
        <f aca="false">IF($A77="","",IFERROR(IF(_xlfn.MAXIFS('Restock Log'!$D:$D,'Restock Log'!$B:$B,A77)=0,"None",_xlfn.MAXIFS('Restock Log'!$D:$D,'Restock Log'!$B:$B,A77)),"None"))</f>
        <v/>
      </c>
      <c r="F77" s="13" t="str">
        <f aca="false">IF($A77="","",IF(E77="None","",E77+D77))</f>
        <v/>
      </c>
      <c r="G77" s="14" t="str">
        <f aca="true">IF($A77="","",IF(F77="","",F77-TODAY()))</f>
        <v/>
      </c>
      <c r="H77" s="14" t="str">
        <f aca="false">IF($A77="","",Properties!G68)</f>
        <v/>
      </c>
      <c r="I77" s="15" t="str">
        <f aca="false">IF($A77="","",IF(H77="Y","URGENT",IF(E77="None","NOT SET",IF(G77&lt;0,"OVERDUE",IF(G77&lt;=7,"DUE SOON","OK")))))</f>
        <v/>
      </c>
    </row>
    <row r="78" customFormat="false" ht="15" hidden="false" customHeight="false" outlineLevel="0" collapsed="false">
      <c r="A78" s="12" t="str">
        <f aca="false">IF(Properties!A69="","",Properties!A69)</f>
        <v/>
      </c>
      <c r="B78" s="12" t="str">
        <f aca="false">IF($A78="","",Properties!B69)</f>
        <v/>
      </c>
      <c r="C78" s="12" t="str">
        <f aca="false">IF($A78="","",Properties!C69)</f>
        <v/>
      </c>
      <c r="D78" s="12" t="str">
        <f aca="false">IF($A78="","",Properties!F69)</f>
        <v/>
      </c>
      <c r="E78" s="13" t="str">
        <f aca="false">IF($A78="","",IFERROR(IF(_xlfn.MAXIFS('Restock Log'!$D:$D,'Restock Log'!$B:$B,A78)=0,"None",_xlfn.MAXIFS('Restock Log'!$D:$D,'Restock Log'!$B:$B,A78)),"None"))</f>
        <v/>
      </c>
      <c r="F78" s="13" t="str">
        <f aca="false">IF($A78="","",IF(E78="None","",E78+D78))</f>
        <v/>
      </c>
      <c r="G78" s="14" t="str">
        <f aca="true">IF($A78="","",IF(F78="","",F78-TODAY()))</f>
        <v/>
      </c>
      <c r="H78" s="14" t="str">
        <f aca="false">IF($A78="","",Properties!G69)</f>
        <v/>
      </c>
      <c r="I78" s="15" t="str">
        <f aca="false">IF($A78="","",IF(H78="Y","URGENT",IF(E78="None","NOT SET",IF(G78&lt;0,"OVERDUE",IF(G78&lt;=7,"DUE SOON","OK")))))</f>
        <v/>
      </c>
    </row>
    <row r="79" customFormat="false" ht="15" hidden="false" customHeight="false" outlineLevel="0" collapsed="false">
      <c r="A79" s="12" t="str">
        <f aca="false">IF(Properties!A70="","",Properties!A70)</f>
        <v/>
      </c>
      <c r="B79" s="12" t="str">
        <f aca="false">IF($A79="","",Properties!B70)</f>
        <v/>
      </c>
      <c r="C79" s="12" t="str">
        <f aca="false">IF($A79="","",Properties!C70)</f>
        <v/>
      </c>
      <c r="D79" s="12" t="str">
        <f aca="false">IF($A79="","",Properties!F70)</f>
        <v/>
      </c>
      <c r="E79" s="13" t="str">
        <f aca="false">IF($A79="","",IFERROR(IF(_xlfn.MAXIFS('Restock Log'!$D:$D,'Restock Log'!$B:$B,A79)=0,"None",_xlfn.MAXIFS('Restock Log'!$D:$D,'Restock Log'!$B:$B,A79)),"None"))</f>
        <v/>
      </c>
      <c r="F79" s="13" t="str">
        <f aca="false">IF($A79="","",IF(E79="None","",E79+D79))</f>
        <v/>
      </c>
      <c r="G79" s="14" t="str">
        <f aca="true">IF($A79="","",IF(F79="","",F79-TODAY()))</f>
        <v/>
      </c>
      <c r="H79" s="14" t="str">
        <f aca="false">IF($A79="","",Properties!G70)</f>
        <v/>
      </c>
      <c r="I79" s="15" t="str">
        <f aca="false">IF($A79="","",IF(H79="Y","URGENT",IF(E79="None","NOT SET",IF(G79&lt;0,"OVERDUE",IF(G79&lt;=7,"DUE SOON","OK")))))</f>
        <v/>
      </c>
    </row>
    <row r="80" customFormat="false" ht="15" hidden="false" customHeight="false" outlineLevel="0" collapsed="false">
      <c r="A80" s="12" t="str">
        <f aca="false">IF(Properties!A71="","",Properties!A71)</f>
        <v/>
      </c>
      <c r="B80" s="12" t="str">
        <f aca="false">IF($A80="","",Properties!B71)</f>
        <v/>
      </c>
      <c r="C80" s="12" t="str">
        <f aca="false">IF($A80="","",Properties!C71)</f>
        <v/>
      </c>
      <c r="D80" s="12" t="str">
        <f aca="false">IF($A80="","",Properties!F71)</f>
        <v/>
      </c>
      <c r="E80" s="13" t="str">
        <f aca="false">IF($A80="","",IFERROR(IF(_xlfn.MAXIFS('Restock Log'!$D:$D,'Restock Log'!$B:$B,A80)=0,"None",_xlfn.MAXIFS('Restock Log'!$D:$D,'Restock Log'!$B:$B,A80)),"None"))</f>
        <v/>
      </c>
      <c r="F80" s="13" t="str">
        <f aca="false">IF($A80="","",IF(E80="None","",E80+D80))</f>
        <v/>
      </c>
      <c r="G80" s="14" t="str">
        <f aca="true">IF($A80="","",IF(F80="","",F80-TODAY()))</f>
        <v/>
      </c>
      <c r="H80" s="14" t="str">
        <f aca="false">IF($A80="","",Properties!G71)</f>
        <v/>
      </c>
      <c r="I80" s="15" t="str">
        <f aca="false">IF($A80="","",IF(H80="Y","URGENT",IF(E80="None","NOT SET",IF(G80&lt;0,"OVERDUE",IF(G80&lt;=7,"DUE SOON","OK")))))</f>
        <v/>
      </c>
    </row>
    <row r="81" customFormat="false" ht="15" hidden="false" customHeight="false" outlineLevel="0" collapsed="false">
      <c r="A81" s="12" t="str">
        <f aca="false">IF(Properties!A72="","",Properties!A72)</f>
        <v/>
      </c>
      <c r="B81" s="12" t="str">
        <f aca="false">IF($A81="","",Properties!B72)</f>
        <v/>
      </c>
      <c r="C81" s="12" t="str">
        <f aca="false">IF($A81="","",Properties!C72)</f>
        <v/>
      </c>
      <c r="D81" s="12" t="str">
        <f aca="false">IF($A81="","",Properties!F72)</f>
        <v/>
      </c>
      <c r="E81" s="13" t="str">
        <f aca="false">IF($A81="","",IFERROR(IF(_xlfn.MAXIFS('Restock Log'!$D:$D,'Restock Log'!$B:$B,A81)=0,"None",_xlfn.MAXIFS('Restock Log'!$D:$D,'Restock Log'!$B:$B,A81)),"None"))</f>
        <v/>
      </c>
      <c r="F81" s="13" t="str">
        <f aca="false">IF($A81="","",IF(E81="None","",E81+D81))</f>
        <v/>
      </c>
      <c r="G81" s="14" t="str">
        <f aca="true">IF($A81="","",IF(F81="","",F81-TODAY()))</f>
        <v/>
      </c>
      <c r="H81" s="14" t="str">
        <f aca="false">IF($A81="","",Properties!G72)</f>
        <v/>
      </c>
      <c r="I81" s="15" t="str">
        <f aca="false">IF($A81="","",IF(H81="Y","URGENT",IF(E81="None","NOT SET",IF(G81&lt;0,"OVERDUE",IF(G81&lt;=7,"DUE SOON","OK")))))</f>
        <v/>
      </c>
    </row>
    <row r="82" customFormat="false" ht="15" hidden="false" customHeight="false" outlineLevel="0" collapsed="false">
      <c r="A82" s="12" t="str">
        <f aca="false">IF(Properties!A73="","",Properties!A73)</f>
        <v/>
      </c>
      <c r="B82" s="12" t="str">
        <f aca="false">IF($A82="","",Properties!B73)</f>
        <v/>
      </c>
      <c r="C82" s="12" t="str">
        <f aca="false">IF($A82="","",Properties!C73)</f>
        <v/>
      </c>
      <c r="D82" s="12" t="str">
        <f aca="false">IF($A82="","",Properties!F73)</f>
        <v/>
      </c>
      <c r="E82" s="13" t="str">
        <f aca="false">IF($A82="","",IFERROR(IF(_xlfn.MAXIFS('Restock Log'!$D:$D,'Restock Log'!$B:$B,A82)=0,"None",_xlfn.MAXIFS('Restock Log'!$D:$D,'Restock Log'!$B:$B,A82)),"None"))</f>
        <v/>
      </c>
      <c r="F82" s="13" t="str">
        <f aca="false">IF($A82="","",IF(E82="None","",E82+D82))</f>
        <v/>
      </c>
      <c r="G82" s="14" t="str">
        <f aca="true">IF($A82="","",IF(F82="","",F82-TODAY()))</f>
        <v/>
      </c>
      <c r="H82" s="14" t="str">
        <f aca="false">IF($A82="","",Properties!G73)</f>
        <v/>
      </c>
      <c r="I82" s="15" t="str">
        <f aca="false">IF($A82="","",IF(H82="Y","URGENT",IF(E82="None","NOT SET",IF(G82&lt;0,"OVERDUE",IF(G82&lt;=7,"DUE SOON","OK")))))</f>
        <v/>
      </c>
    </row>
    <row r="83" customFormat="false" ht="15" hidden="false" customHeight="false" outlineLevel="0" collapsed="false">
      <c r="A83" s="12" t="str">
        <f aca="false">IF(Properties!A74="","",Properties!A74)</f>
        <v/>
      </c>
      <c r="B83" s="12" t="str">
        <f aca="false">IF($A83="","",Properties!B74)</f>
        <v/>
      </c>
      <c r="C83" s="12" t="str">
        <f aca="false">IF($A83="","",Properties!C74)</f>
        <v/>
      </c>
      <c r="D83" s="12" t="str">
        <f aca="false">IF($A83="","",Properties!F74)</f>
        <v/>
      </c>
      <c r="E83" s="13" t="str">
        <f aca="false">IF($A83="","",IFERROR(IF(_xlfn.MAXIFS('Restock Log'!$D:$D,'Restock Log'!$B:$B,A83)=0,"None",_xlfn.MAXIFS('Restock Log'!$D:$D,'Restock Log'!$B:$B,A83)),"None"))</f>
        <v/>
      </c>
      <c r="F83" s="13" t="str">
        <f aca="false">IF($A83="","",IF(E83="None","",E83+D83))</f>
        <v/>
      </c>
      <c r="G83" s="14" t="str">
        <f aca="true">IF($A83="","",IF(F83="","",F83-TODAY()))</f>
        <v/>
      </c>
      <c r="H83" s="14" t="str">
        <f aca="false">IF($A83="","",Properties!G74)</f>
        <v/>
      </c>
      <c r="I83" s="15" t="str">
        <f aca="false">IF($A83="","",IF(H83="Y","URGENT",IF(E83="None","NOT SET",IF(G83&lt;0,"OVERDUE",IF(G83&lt;=7,"DUE SOON","OK")))))</f>
        <v/>
      </c>
    </row>
    <row r="84" customFormat="false" ht="15" hidden="false" customHeight="false" outlineLevel="0" collapsed="false">
      <c r="A84" s="12" t="str">
        <f aca="false">IF(Properties!A75="","",Properties!A75)</f>
        <v/>
      </c>
      <c r="B84" s="12" t="str">
        <f aca="false">IF($A84="","",Properties!B75)</f>
        <v/>
      </c>
      <c r="C84" s="12" t="str">
        <f aca="false">IF($A84="","",Properties!C75)</f>
        <v/>
      </c>
      <c r="D84" s="12" t="str">
        <f aca="false">IF($A84="","",Properties!F75)</f>
        <v/>
      </c>
      <c r="E84" s="13" t="str">
        <f aca="false">IF($A84="","",IFERROR(IF(_xlfn.MAXIFS('Restock Log'!$D:$D,'Restock Log'!$B:$B,A84)=0,"None",_xlfn.MAXIFS('Restock Log'!$D:$D,'Restock Log'!$B:$B,A84)),"None"))</f>
        <v/>
      </c>
      <c r="F84" s="13" t="str">
        <f aca="false">IF($A84="","",IF(E84="None","",E84+D84))</f>
        <v/>
      </c>
      <c r="G84" s="14" t="str">
        <f aca="true">IF($A84="","",IF(F84="","",F84-TODAY()))</f>
        <v/>
      </c>
      <c r="H84" s="14" t="str">
        <f aca="false">IF($A84="","",Properties!G75)</f>
        <v/>
      </c>
      <c r="I84" s="15" t="str">
        <f aca="false">IF($A84="","",IF(H84="Y","URGENT",IF(E84="None","NOT SET",IF(G84&lt;0,"OVERDUE",IF(G84&lt;=7,"DUE SOON","OK")))))</f>
        <v/>
      </c>
    </row>
    <row r="85" customFormat="false" ht="15" hidden="false" customHeight="false" outlineLevel="0" collapsed="false">
      <c r="A85" s="12" t="str">
        <f aca="false">IF(Properties!A76="","",Properties!A76)</f>
        <v/>
      </c>
      <c r="B85" s="12" t="str">
        <f aca="false">IF($A85="","",Properties!B76)</f>
        <v/>
      </c>
      <c r="C85" s="12" t="str">
        <f aca="false">IF($A85="","",Properties!C76)</f>
        <v/>
      </c>
      <c r="D85" s="12" t="str">
        <f aca="false">IF($A85="","",Properties!F76)</f>
        <v/>
      </c>
      <c r="E85" s="13" t="str">
        <f aca="false">IF($A85="","",IFERROR(IF(_xlfn.MAXIFS('Restock Log'!$D:$D,'Restock Log'!$B:$B,A85)=0,"None",_xlfn.MAXIFS('Restock Log'!$D:$D,'Restock Log'!$B:$B,A85)),"None"))</f>
        <v/>
      </c>
      <c r="F85" s="13" t="str">
        <f aca="false">IF($A85="","",IF(E85="None","",E85+D85))</f>
        <v/>
      </c>
      <c r="G85" s="14" t="str">
        <f aca="true">IF($A85="","",IF(F85="","",F85-TODAY()))</f>
        <v/>
      </c>
      <c r="H85" s="14" t="str">
        <f aca="false">IF($A85="","",Properties!G76)</f>
        <v/>
      </c>
      <c r="I85" s="15" t="str">
        <f aca="false">IF($A85="","",IF(H85="Y","URGENT",IF(E85="None","NOT SET",IF(G85&lt;0,"OVERDUE",IF(G85&lt;=7,"DUE SOON","OK")))))</f>
        <v/>
      </c>
    </row>
    <row r="86" customFormat="false" ht="15" hidden="false" customHeight="false" outlineLevel="0" collapsed="false">
      <c r="A86" s="12" t="str">
        <f aca="false">IF(Properties!A77="","",Properties!A77)</f>
        <v/>
      </c>
      <c r="B86" s="12" t="str">
        <f aca="false">IF($A86="","",Properties!B77)</f>
        <v/>
      </c>
      <c r="C86" s="12" t="str">
        <f aca="false">IF($A86="","",Properties!C77)</f>
        <v/>
      </c>
      <c r="D86" s="12" t="str">
        <f aca="false">IF($A86="","",Properties!F77)</f>
        <v/>
      </c>
      <c r="E86" s="13" t="str">
        <f aca="false">IF($A86="","",IFERROR(IF(_xlfn.MAXIFS('Restock Log'!$D:$D,'Restock Log'!$B:$B,A86)=0,"None",_xlfn.MAXIFS('Restock Log'!$D:$D,'Restock Log'!$B:$B,A86)),"None"))</f>
        <v/>
      </c>
      <c r="F86" s="13" t="str">
        <f aca="false">IF($A86="","",IF(E86="None","",E86+D86))</f>
        <v/>
      </c>
      <c r="G86" s="14" t="str">
        <f aca="true">IF($A86="","",IF(F86="","",F86-TODAY()))</f>
        <v/>
      </c>
      <c r="H86" s="14" t="str">
        <f aca="false">IF($A86="","",Properties!G77)</f>
        <v/>
      </c>
      <c r="I86" s="15" t="str">
        <f aca="false">IF($A86="","",IF(H86="Y","URGENT",IF(E86="None","NOT SET",IF(G86&lt;0,"OVERDUE",IF(G86&lt;=7,"DUE SOON","OK")))))</f>
        <v/>
      </c>
    </row>
    <row r="87" customFormat="false" ht="15" hidden="false" customHeight="false" outlineLevel="0" collapsed="false">
      <c r="A87" s="12" t="str">
        <f aca="false">IF(Properties!A78="","",Properties!A78)</f>
        <v/>
      </c>
      <c r="B87" s="12" t="str">
        <f aca="false">IF($A87="","",Properties!B78)</f>
        <v/>
      </c>
      <c r="C87" s="12" t="str">
        <f aca="false">IF($A87="","",Properties!C78)</f>
        <v/>
      </c>
      <c r="D87" s="12" t="str">
        <f aca="false">IF($A87="","",Properties!F78)</f>
        <v/>
      </c>
      <c r="E87" s="13" t="str">
        <f aca="false">IF($A87="","",IFERROR(IF(_xlfn.MAXIFS('Restock Log'!$D:$D,'Restock Log'!$B:$B,A87)=0,"None",_xlfn.MAXIFS('Restock Log'!$D:$D,'Restock Log'!$B:$B,A87)),"None"))</f>
        <v/>
      </c>
      <c r="F87" s="13" t="str">
        <f aca="false">IF($A87="","",IF(E87="None","",E87+D87))</f>
        <v/>
      </c>
      <c r="G87" s="14" t="str">
        <f aca="true">IF($A87="","",IF(F87="","",F87-TODAY()))</f>
        <v/>
      </c>
      <c r="H87" s="14" t="str">
        <f aca="false">IF($A87="","",Properties!G78)</f>
        <v/>
      </c>
      <c r="I87" s="15" t="str">
        <f aca="false">IF($A87="","",IF(H87="Y","URGENT",IF(E87="None","NOT SET",IF(G87&lt;0,"OVERDUE",IF(G87&lt;=7,"DUE SOON","OK")))))</f>
        <v/>
      </c>
    </row>
    <row r="88" customFormat="false" ht="15" hidden="false" customHeight="false" outlineLevel="0" collapsed="false">
      <c r="A88" s="12" t="str">
        <f aca="false">IF(Properties!A79="","",Properties!A79)</f>
        <v/>
      </c>
      <c r="B88" s="12" t="str">
        <f aca="false">IF($A88="","",Properties!B79)</f>
        <v/>
      </c>
      <c r="C88" s="12" t="str">
        <f aca="false">IF($A88="","",Properties!C79)</f>
        <v/>
      </c>
      <c r="D88" s="12" t="str">
        <f aca="false">IF($A88="","",Properties!F79)</f>
        <v/>
      </c>
      <c r="E88" s="13" t="str">
        <f aca="false">IF($A88="","",IFERROR(IF(_xlfn.MAXIFS('Restock Log'!$D:$D,'Restock Log'!$B:$B,A88)=0,"None",_xlfn.MAXIFS('Restock Log'!$D:$D,'Restock Log'!$B:$B,A88)),"None"))</f>
        <v/>
      </c>
      <c r="F88" s="13" t="str">
        <f aca="false">IF($A88="","",IF(E88="None","",E88+D88))</f>
        <v/>
      </c>
      <c r="G88" s="14" t="str">
        <f aca="true">IF($A88="","",IF(F88="","",F88-TODAY()))</f>
        <v/>
      </c>
      <c r="H88" s="14" t="str">
        <f aca="false">IF($A88="","",Properties!G79)</f>
        <v/>
      </c>
      <c r="I88" s="15" t="str">
        <f aca="false">IF($A88="","",IF(H88="Y","URGENT",IF(E88="None","NOT SET",IF(G88&lt;0,"OVERDUE",IF(G88&lt;=7,"DUE SOON","OK")))))</f>
        <v/>
      </c>
    </row>
    <row r="89" customFormat="false" ht="15" hidden="false" customHeight="false" outlineLevel="0" collapsed="false">
      <c r="A89" s="12" t="str">
        <f aca="false">IF(Properties!A80="","",Properties!A80)</f>
        <v/>
      </c>
      <c r="B89" s="12" t="str">
        <f aca="false">IF($A89="","",Properties!B80)</f>
        <v/>
      </c>
      <c r="C89" s="12" t="str">
        <f aca="false">IF($A89="","",Properties!C80)</f>
        <v/>
      </c>
      <c r="D89" s="12" t="str">
        <f aca="false">IF($A89="","",Properties!F80)</f>
        <v/>
      </c>
      <c r="E89" s="13" t="str">
        <f aca="false">IF($A89="","",IFERROR(IF(_xlfn.MAXIFS('Restock Log'!$D:$D,'Restock Log'!$B:$B,A89)=0,"None",_xlfn.MAXIFS('Restock Log'!$D:$D,'Restock Log'!$B:$B,A89)),"None"))</f>
        <v/>
      </c>
      <c r="F89" s="13" t="str">
        <f aca="false">IF($A89="","",IF(E89="None","",E89+D89))</f>
        <v/>
      </c>
      <c r="G89" s="14" t="str">
        <f aca="true">IF($A89="","",IF(F89="","",F89-TODAY()))</f>
        <v/>
      </c>
      <c r="H89" s="14" t="str">
        <f aca="false">IF($A89="","",Properties!G80)</f>
        <v/>
      </c>
      <c r="I89" s="15" t="str">
        <f aca="false">IF($A89="","",IF(H89="Y","URGENT",IF(E89="None","NOT SET",IF(G89&lt;0,"OVERDUE",IF(G89&lt;=7,"DUE SOON","OK")))))</f>
        <v/>
      </c>
    </row>
    <row r="90" customFormat="false" ht="15" hidden="false" customHeight="false" outlineLevel="0" collapsed="false">
      <c r="A90" s="12" t="str">
        <f aca="false">IF(Properties!A81="","",Properties!A81)</f>
        <v/>
      </c>
      <c r="B90" s="12" t="str">
        <f aca="false">IF($A90="","",Properties!B81)</f>
        <v/>
      </c>
      <c r="C90" s="12" t="str">
        <f aca="false">IF($A90="","",Properties!C81)</f>
        <v/>
      </c>
      <c r="D90" s="12" t="str">
        <f aca="false">IF($A90="","",Properties!F81)</f>
        <v/>
      </c>
      <c r="E90" s="13" t="str">
        <f aca="false">IF($A90="","",IFERROR(IF(_xlfn.MAXIFS('Restock Log'!$D:$D,'Restock Log'!$B:$B,A90)=0,"None",_xlfn.MAXIFS('Restock Log'!$D:$D,'Restock Log'!$B:$B,A90)),"None"))</f>
        <v/>
      </c>
      <c r="F90" s="13" t="str">
        <f aca="false">IF($A90="","",IF(E90="None","",E90+D90))</f>
        <v/>
      </c>
      <c r="G90" s="14" t="str">
        <f aca="true">IF($A90="","",IF(F90="","",F90-TODAY()))</f>
        <v/>
      </c>
      <c r="H90" s="14" t="str">
        <f aca="false">IF($A90="","",Properties!G81)</f>
        <v/>
      </c>
      <c r="I90" s="15" t="str">
        <f aca="false">IF($A90="","",IF(H90="Y","URGENT",IF(E90="None","NOT SET",IF(G90&lt;0,"OVERDUE",IF(G90&lt;=7,"DUE SOON","OK")))))</f>
        <v/>
      </c>
    </row>
    <row r="91" customFormat="false" ht="15" hidden="false" customHeight="false" outlineLevel="0" collapsed="false">
      <c r="A91" s="12" t="str">
        <f aca="false">IF(Properties!A82="","",Properties!A82)</f>
        <v/>
      </c>
      <c r="B91" s="12" t="str">
        <f aca="false">IF($A91="","",Properties!B82)</f>
        <v/>
      </c>
      <c r="C91" s="12" t="str">
        <f aca="false">IF($A91="","",Properties!C82)</f>
        <v/>
      </c>
      <c r="D91" s="12" t="str">
        <f aca="false">IF($A91="","",Properties!F82)</f>
        <v/>
      </c>
      <c r="E91" s="13" t="str">
        <f aca="false">IF($A91="","",IFERROR(IF(_xlfn.MAXIFS('Restock Log'!$D:$D,'Restock Log'!$B:$B,A91)=0,"None",_xlfn.MAXIFS('Restock Log'!$D:$D,'Restock Log'!$B:$B,A91)),"None"))</f>
        <v/>
      </c>
      <c r="F91" s="13" t="str">
        <f aca="false">IF($A91="","",IF(E91="None","",E91+D91))</f>
        <v/>
      </c>
      <c r="G91" s="14" t="str">
        <f aca="true">IF($A91="","",IF(F91="","",F91-TODAY()))</f>
        <v/>
      </c>
      <c r="H91" s="14" t="str">
        <f aca="false">IF($A91="","",Properties!G82)</f>
        <v/>
      </c>
      <c r="I91" s="15" t="str">
        <f aca="false">IF($A91="","",IF(H91="Y","URGENT",IF(E91="None","NOT SET",IF(G91&lt;0,"OVERDUE",IF(G91&lt;=7,"DUE SOON","OK")))))</f>
        <v/>
      </c>
    </row>
    <row r="92" customFormat="false" ht="15" hidden="false" customHeight="false" outlineLevel="0" collapsed="false">
      <c r="A92" s="12" t="str">
        <f aca="false">IF(Properties!A83="","",Properties!A83)</f>
        <v/>
      </c>
      <c r="B92" s="12" t="str">
        <f aca="false">IF($A92="","",Properties!B83)</f>
        <v/>
      </c>
      <c r="C92" s="12" t="str">
        <f aca="false">IF($A92="","",Properties!C83)</f>
        <v/>
      </c>
      <c r="D92" s="12" t="str">
        <f aca="false">IF($A92="","",Properties!F83)</f>
        <v/>
      </c>
      <c r="E92" s="13" t="str">
        <f aca="false">IF($A92="","",IFERROR(IF(_xlfn.MAXIFS('Restock Log'!$D:$D,'Restock Log'!$B:$B,A92)=0,"None",_xlfn.MAXIFS('Restock Log'!$D:$D,'Restock Log'!$B:$B,A92)),"None"))</f>
        <v/>
      </c>
      <c r="F92" s="13" t="str">
        <f aca="false">IF($A92="","",IF(E92="None","",E92+D92))</f>
        <v/>
      </c>
      <c r="G92" s="14" t="str">
        <f aca="true">IF($A92="","",IF(F92="","",F92-TODAY()))</f>
        <v/>
      </c>
      <c r="H92" s="14" t="str">
        <f aca="false">IF($A92="","",Properties!G83)</f>
        <v/>
      </c>
      <c r="I92" s="15" t="str">
        <f aca="false">IF($A92="","",IF(H92="Y","URGENT",IF(E92="None","NOT SET",IF(G92&lt;0,"OVERDUE",IF(G92&lt;=7,"DUE SOON","OK")))))</f>
        <v/>
      </c>
    </row>
    <row r="93" customFormat="false" ht="15" hidden="false" customHeight="false" outlineLevel="0" collapsed="false">
      <c r="A93" s="12" t="str">
        <f aca="false">IF(Properties!A84="","",Properties!A84)</f>
        <v/>
      </c>
      <c r="B93" s="12" t="str">
        <f aca="false">IF($A93="","",Properties!B84)</f>
        <v/>
      </c>
      <c r="C93" s="12" t="str">
        <f aca="false">IF($A93="","",Properties!C84)</f>
        <v/>
      </c>
      <c r="D93" s="12" t="str">
        <f aca="false">IF($A93="","",Properties!F84)</f>
        <v/>
      </c>
      <c r="E93" s="13" t="str">
        <f aca="false">IF($A93="","",IFERROR(IF(_xlfn.MAXIFS('Restock Log'!$D:$D,'Restock Log'!$B:$B,A93)=0,"None",_xlfn.MAXIFS('Restock Log'!$D:$D,'Restock Log'!$B:$B,A93)),"None"))</f>
        <v/>
      </c>
      <c r="F93" s="13" t="str">
        <f aca="false">IF($A93="","",IF(E93="None","",E93+D93))</f>
        <v/>
      </c>
      <c r="G93" s="14" t="str">
        <f aca="true">IF($A93="","",IF(F93="","",F93-TODAY()))</f>
        <v/>
      </c>
      <c r="H93" s="14" t="str">
        <f aca="false">IF($A93="","",Properties!G84)</f>
        <v/>
      </c>
      <c r="I93" s="15" t="str">
        <f aca="false">IF($A93="","",IF(H93="Y","URGENT",IF(E93="None","NOT SET",IF(G93&lt;0,"OVERDUE",IF(G93&lt;=7,"DUE SOON","OK")))))</f>
        <v/>
      </c>
    </row>
    <row r="94" customFormat="false" ht="15" hidden="false" customHeight="false" outlineLevel="0" collapsed="false">
      <c r="A94" s="12" t="str">
        <f aca="false">IF(Properties!A85="","",Properties!A85)</f>
        <v/>
      </c>
      <c r="B94" s="12" t="str">
        <f aca="false">IF($A94="","",Properties!B85)</f>
        <v/>
      </c>
      <c r="C94" s="12" t="str">
        <f aca="false">IF($A94="","",Properties!C85)</f>
        <v/>
      </c>
      <c r="D94" s="12" t="str">
        <f aca="false">IF($A94="","",Properties!F85)</f>
        <v/>
      </c>
      <c r="E94" s="13" t="str">
        <f aca="false">IF($A94="","",IFERROR(IF(_xlfn.MAXIFS('Restock Log'!$D:$D,'Restock Log'!$B:$B,A94)=0,"None",_xlfn.MAXIFS('Restock Log'!$D:$D,'Restock Log'!$B:$B,A94)),"None"))</f>
        <v/>
      </c>
      <c r="F94" s="13" t="str">
        <f aca="false">IF($A94="","",IF(E94="None","",E94+D94))</f>
        <v/>
      </c>
      <c r="G94" s="14" t="str">
        <f aca="true">IF($A94="","",IF(F94="","",F94-TODAY()))</f>
        <v/>
      </c>
      <c r="H94" s="14" t="str">
        <f aca="false">IF($A94="","",Properties!G85)</f>
        <v/>
      </c>
      <c r="I94" s="15" t="str">
        <f aca="false">IF($A94="","",IF(H94="Y","URGENT",IF(E94="None","NOT SET",IF(G94&lt;0,"OVERDUE",IF(G94&lt;=7,"DUE SOON","OK")))))</f>
        <v/>
      </c>
    </row>
    <row r="95" customFormat="false" ht="15" hidden="false" customHeight="false" outlineLevel="0" collapsed="false">
      <c r="A95" s="12" t="str">
        <f aca="false">IF(Properties!A86="","",Properties!A86)</f>
        <v/>
      </c>
      <c r="B95" s="12" t="str">
        <f aca="false">IF($A95="","",Properties!B86)</f>
        <v/>
      </c>
      <c r="C95" s="12" t="str">
        <f aca="false">IF($A95="","",Properties!C86)</f>
        <v/>
      </c>
      <c r="D95" s="12" t="str">
        <f aca="false">IF($A95="","",Properties!F86)</f>
        <v/>
      </c>
      <c r="E95" s="13" t="str">
        <f aca="false">IF($A95="","",IFERROR(IF(_xlfn.MAXIFS('Restock Log'!$D:$D,'Restock Log'!$B:$B,A95)=0,"None",_xlfn.MAXIFS('Restock Log'!$D:$D,'Restock Log'!$B:$B,A95)),"None"))</f>
        <v/>
      </c>
      <c r="F95" s="13" t="str">
        <f aca="false">IF($A95="","",IF(E95="None","",E95+D95))</f>
        <v/>
      </c>
      <c r="G95" s="14" t="str">
        <f aca="true">IF($A95="","",IF(F95="","",F95-TODAY()))</f>
        <v/>
      </c>
      <c r="H95" s="14" t="str">
        <f aca="false">IF($A95="","",Properties!G86)</f>
        <v/>
      </c>
      <c r="I95" s="15" t="str">
        <f aca="false">IF($A95="","",IF(H95="Y","URGENT",IF(E95="None","NOT SET",IF(G95&lt;0,"OVERDUE",IF(G95&lt;=7,"DUE SOON","OK")))))</f>
        <v/>
      </c>
    </row>
    <row r="96" customFormat="false" ht="15" hidden="false" customHeight="false" outlineLevel="0" collapsed="false">
      <c r="A96" s="12" t="str">
        <f aca="false">IF(Properties!A87="","",Properties!A87)</f>
        <v/>
      </c>
      <c r="B96" s="12" t="str">
        <f aca="false">IF($A96="","",Properties!B87)</f>
        <v/>
      </c>
      <c r="C96" s="12" t="str">
        <f aca="false">IF($A96="","",Properties!C87)</f>
        <v/>
      </c>
      <c r="D96" s="12" t="str">
        <f aca="false">IF($A96="","",Properties!F87)</f>
        <v/>
      </c>
      <c r="E96" s="13" t="str">
        <f aca="false">IF($A96="","",IFERROR(IF(_xlfn.MAXIFS('Restock Log'!$D:$D,'Restock Log'!$B:$B,A96)=0,"None",_xlfn.MAXIFS('Restock Log'!$D:$D,'Restock Log'!$B:$B,A96)),"None"))</f>
        <v/>
      </c>
      <c r="F96" s="13" t="str">
        <f aca="false">IF($A96="","",IF(E96="None","",E96+D96))</f>
        <v/>
      </c>
      <c r="G96" s="14" t="str">
        <f aca="true">IF($A96="","",IF(F96="","",F96-TODAY()))</f>
        <v/>
      </c>
      <c r="H96" s="14" t="str">
        <f aca="false">IF($A96="","",Properties!G87)</f>
        <v/>
      </c>
      <c r="I96" s="15" t="str">
        <f aca="false">IF($A96="","",IF(H96="Y","URGENT",IF(E96="None","NOT SET",IF(G96&lt;0,"OVERDUE",IF(G96&lt;=7,"DUE SOON","OK")))))</f>
        <v/>
      </c>
    </row>
    <row r="97" customFormat="false" ht="15" hidden="false" customHeight="false" outlineLevel="0" collapsed="false">
      <c r="A97" s="12" t="str">
        <f aca="false">IF(Properties!A88="","",Properties!A88)</f>
        <v/>
      </c>
      <c r="B97" s="12" t="str">
        <f aca="false">IF($A97="","",Properties!B88)</f>
        <v/>
      </c>
      <c r="C97" s="12" t="str">
        <f aca="false">IF($A97="","",Properties!C88)</f>
        <v/>
      </c>
      <c r="D97" s="12" t="str">
        <f aca="false">IF($A97="","",Properties!F88)</f>
        <v/>
      </c>
      <c r="E97" s="13" t="str">
        <f aca="false">IF($A97="","",IFERROR(IF(_xlfn.MAXIFS('Restock Log'!$D:$D,'Restock Log'!$B:$B,A97)=0,"None",_xlfn.MAXIFS('Restock Log'!$D:$D,'Restock Log'!$B:$B,A97)),"None"))</f>
        <v/>
      </c>
      <c r="F97" s="13" t="str">
        <f aca="false">IF($A97="","",IF(E97="None","",E97+D97))</f>
        <v/>
      </c>
      <c r="G97" s="14" t="str">
        <f aca="true">IF($A97="","",IF(F97="","",F97-TODAY()))</f>
        <v/>
      </c>
      <c r="H97" s="14" t="str">
        <f aca="false">IF($A97="","",Properties!G88)</f>
        <v/>
      </c>
      <c r="I97" s="15" t="str">
        <f aca="false">IF($A97="","",IF(H97="Y","URGENT",IF(E97="None","NOT SET",IF(G97&lt;0,"OVERDUE",IF(G97&lt;=7,"DUE SOON","OK")))))</f>
        <v/>
      </c>
    </row>
    <row r="98" customFormat="false" ht="15" hidden="false" customHeight="false" outlineLevel="0" collapsed="false">
      <c r="A98" s="12" t="str">
        <f aca="false">IF(Properties!A89="","",Properties!A89)</f>
        <v/>
      </c>
      <c r="B98" s="12" t="str">
        <f aca="false">IF($A98="","",Properties!B89)</f>
        <v/>
      </c>
      <c r="C98" s="12" t="str">
        <f aca="false">IF($A98="","",Properties!C89)</f>
        <v/>
      </c>
      <c r="D98" s="12" t="str">
        <f aca="false">IF($A98="","",Properties!F89)</f>
        <v/>
      </c>
      <c r="E98" s="13" t="str">
        <f aca="false">IF($A98="","",IFERROR(IF(_xlfn.MAXIFS('Restock Log'!$D:$D,'Restock Log'!$B:$B,A98)=0,"None",_xlfn.MAXIFS('Restock Log'!$D:$D,'Restock Log'!$B:$B,A98)),"None"))</f>
        <v/>
      </c>
      <c r="F98" s="13" t="str">
        <f aca="false">IF($A98="","",IF(E98="None","",E98+D98))</f>
        <v/>
      </c>
      <c r="G98" s="14" t="str">
        <f aca="true">IF($A98="","",IF(F98="","",F98-TODAY()))</f>
        <v/>
      </c>
      <c r="H98" s="14" t="str">
        <f aca="false">IF($A98="","",Properties!G89)</f>
        <v/>
      </c>
      <c r="I98" s="15" t="str">
        <f aca="false">IF($A98="","",IF(H98="Y","URGENT",IF(E98="None","NOT SET",IF(G98&lt;0,"OVERDUE",IF(G98&lt;=7,"DUE SOON","OK")))))</f>
        <v/>
      </c>
    </row>
    <row r="99" customFormat="false" ht="15" hidden="false" customHeight="false" outlineLevel="0" collapsed="false">
      <c r="A99" s="12" t="str">
        <f aca="false">IF(Properties!A90="","",Properties!A90)</f>
        <v/>
      </c>
      <c r="B99" s="12" t="str">
        <f aca="false">IF($A99="","",Properties!B90)</f>
        <v/>
      </c>
      <c r="C99" s="12" t="str">
        <f aca="false">IF($A99="","",Properties!C90)</f>
        <v/>
      </c>
      <c r="D99" s="12" t="str">
        <f aca="false">IF($A99="","",Properties!F90)</f>
        <v/>
      </c>
      <c r="E99" s="13" t="str">
        <f aca="false">IF($A99="","",IFERROR(IF(_xlfn.MAXIFS('Restock Log'!$D:$D,'Restock Log'!$B:$B,A99)=0,"None",_xlfn.MAXIFS('Restock Log'!$D:$D,'Restock Log'!$B:$B,A99)),"None"))</f>
        <v/>
      </c>
      <c r="F99" s="13" t="str">
        <f aca="false">IF($A99="","",IF(E99="None","",E99+D99))</f>
        <v/>
      </c>
      <c r="G99" s="14" t="str">
        <f aca="true">IF($A99="","",IF(F99="","",F99-TODAY()))</f>
        <v/>
      </c>
      <c r="H99" s="14" t="str">
        <f aca="false">IF($A99="","",Properties!G90)</f>
        <v/>
      </c>
      <c r="I99" s="15" t="str">
        <f aca="false">IF($A99="","",IF(H99="Y","URGENT",IF(E99="None","NOT SET",IF(G99&lt;0,"OVERDUE",IF(G99&lt;=7,"DUE SOON","OK")))))</f>
        <v/>
      </c>
    </row>
    <row r="100" customFormat="false" ht="15" hidden="false" customHeight="false" outlineLevel="0" collapsed="false">
      <c r="A100" s="12" t="str">
        <f aca="false">IF(Properties!A91="","",Properties!A91)</f>
        <v/>
      </c>
      <c r="B100" s="12" t="str">
        <f aca="false">IF($A100="","",Properties!B91)</f>
        <v/>
      </c>
      <c r="C100" s="12" t="str">
        <f aca="false">IF($A100="","",Properties!C91)</f>
        <v/>
      </c>
      <c r="D100" s="12" t="str">
        <f aca="false">IF($A100="","",Properties!F91)</f>
        <v/>
      </c>
      <c r="E100" s="13" t="str">
        <f aca="false">IF($A100="","",IFERROR(IF(_xlfn.MAXIFS('Restock Log'!$D:$D,'Restock Log'!$B:$B,A100)=0,"None",_xlfn.MAXIFS('Restock Log'!$D:$D,'Restock Log'!$B:$B,A100)),"None"))</f>
        <v/>
      </c>
      <c r="F100" s="13" t="str">
        <f aca="false">IF($A100="","",IF(E100="None","",E100+D100))</f>
        <v/>
      </c>
      <c r="G100" s="14" t="str">
        <f aca="true">IF($A100="","",IF(F100="","",F100-TODAY()))</f>
        <v/>
      </c>
      <c r="H100" s="14" t="str">
        <f aca="false">IF($A100="","",Properties!G91)</f>
        <v/>
      </c>
      <c r="I100" s="15" t="str">
        <f aca="false">IF($A100="","",IF(H100="Y","URGENT",IF(E100="None","NOT SET",IF(G100&lt;0,"OVERDUE",IF(G100&lt;=7,"DUE SOON","OK")))))</f>
        <v/>
      </c>
    </row>
    <row r="101" customFormat="false" ht="15" hidden="false" customHeight="false" outlineLevel="0" collapsed="false">
      <c r="A101" s="12" t="str">
        <f aca="false">IF(Properties!A92="","",Properties!A92)</f>
        <v/>
      </c>
      <c r="B101" s="12" t="str">
        <f aca="false">IF($A101="","",Properties!B92)</f>
        <v/>
      </c>
      <c r="C101" s="12" t="str">
        <f aca="false">IF($A101="","",Properties!C92)</f>
        <v/>
      </c>
      <c r="D101" s="12" t="str">
        <f aca="false">IF($A101="","",Properties!F92)</f>
        <v/>
      </c>
      <c r="E101" s="13" t="str">
        <f aca="false">IF($A101="","",IFERROR(IF(_xlfn.MAXIFS('Restock Log'!$D:$D,'Restock Log'!$B:$B,A101)=0,"None",_xlfn.MAXIFS('Restock Log'!$D:$D,'Restock Log'!$B:$B,A101)),"None"))</f>
        <v/>
      </c>
      <c r="F101" s="13" t="str">
        <f aca="false">IF($A101="","",IF(E101="None","",E101+D101))</f>
        <v/>
      </c>
      <c r="G101" s="14" t="str">
        <f aca="true">IF($A101="","",IF(F101="","",F101-TODAY()))</f>
        <v/>
      </c>
      <c r="H101" s="14" t="str">
        <f aca="false">IF($A101="","",Properties!G92)</f>
        <v/>
      </c>
      <c r="I101" s="15" t="str">
        <f aca="false">IF($A101="","",IF(H101="Y","URGENT",IF(E101="None","NOT SET",IF(G101&lt;0,"OVERDUE",IF(G101&lt;=7,"DUE SOON","OK")))))</f>
        <v/>
      </c>
    </row>
    <row r="102" customFormat="false" ht="15" hidden="false" customHeight="false" outlineLevel="0" collapsed="false">
      <c r="A102" s="12" t="str">
        <f aca="false">IF(Properties!A93="","",Properties!A93)</f>
        <v/>
      </c>
      <c r="B102" s="12" t="str">
        <f aca="false">IF($A102="","",Properties!B93)</f>
        <v/>
      </c>
      <c r="C102" s="12" t="str">
        <f aca="false">IF($A102="","",Properties!C93)</f>
        <v/>
      </c>
      <c r="D102" s="12" t="str">
        <f aca="false">IF($A102="","",Properties!F93)</f>
        <v/>
      </c>
      <c r="E102" s="13" t="str">
        <f aca="false">IF($A102="","",IFERROR(IF(_xlfn.MAXIFS('Restock Log'!$D:$D,'Restock Log'!$B:$B,A102)=0,"None",_xlfn.MAXIFS('Restock Log'!$D:$D,'Restock Log'!$B:$B,A102)),"None"))</f>
        <v/>
      </c>
      <c r="F102" s="13" t="str">
        <f aca="false">IF($A102="","",IF(E102="None","",E102+D102))</f>
        <v/>
      </c>
      <c r="G102" s="14" t="str">
        <f aca="true">IF($A102="","",IF(F102="","",F102-TODAY()))</f>
        <v/>
      </c>
      <c r="H102" s="14" t="str">
        <f aca="false">IF($A102="","",Properties!G93)</f>
        <v/>
      </c>
      <c r="I102" s="15" t="str">
        <f aca="false">IF($A102="","",IF(H102="Y","URGENT",IF(E102="None","NOT SET",IF(G102&lt;0,"OVERDUE",IF(G102&lt;=7,"DUE SOON","OK")))))</f>
        <v/>
      </c>
    </row>
    <row r="103" customFormat="false" ht="15" hidden="false" customHeight="false" outlineLevel="0" collapsed="false">
      <c r="A103" s="12" t="str">
        <f aca="false">IF(Properties!A94="","",Properties!A94)</f>
        <v/>
      </c>
      <c r="B103" s="12" t="str">
        <f aca="false">IF($A103="","",Properties!B94)</f>
        <v/>
      </c>
      <c r="C103" s="12" t="str">
        <f aca="false">IF($A103="","",Properties!C94)</f>
        <v/>
      </c>
      <c r="D103" s="12" t="str">
        <f aca="false">IF($A103="","",Properties!F94)</f>
        <v/>
      </c>
      <c r="E103" s="13" t="str">
        <f aca="false">IF($A103="","",IFERROR(IF(_xlfn.MAXIFS('Restock Log'!$D:$D,'Restock Log'!$B:$B,A103)=0,"None",_xlfn.MAXIFS('Restock Log'!$D:$D,'Restock Log'!$B:$B,A103)),"None"))</f>
        <v/>
      </c>
      <c r="F103" s="13" t="str">
        <f aca="false">IF($A103="","",IF(E103="None","",E103+D103))</f>
        <v/>
      </c>
      <c r="G103" s="14" t="str">
        <f aca="true">IF($A103="","",IF(F103="","",F103-TODAY()))</f>
        <v/>
      </c>
      <c r="H103" s="14" t="str">
        <f aca="false">IF($A103="","",Properties!G94)</f>
        <v/>
      </c>
      <c r="I103" s="15" t="str">
        <f aca="false">IF($A103="","",IF(H103="Y","URGENT",IF(E103="None","NOT SET",IF(G103&lt;0,"OVERDUE",IF(G103&lt;=7,"DUE SOON","OK")))))</f>
        <v/>
      </c>
    </row>
    <row r="104" customFormat="false" ht="15" hidden="false" customHeight="false" outlineLevel="0" collapsed="false">
      <c r="A104" s="12" t="str">
        <f aca="false">IF(Properties!A95="","",Properties!A95)</f>
        <v/>
      </c>
      <c r="B104" s="12" t="str">
        <f aca="false">IF($A104="","",Properties!B95)</f>
        <v/>
      </c>
      <c r="C104" s="12" t="str">
        <f aca="false">IF($A104="","",Properties!C95)</f>
        <v/>
      </c>
      <c r="D104" s="12" t="str">
        <f aca="false">IF($A104="","",Properties!F95)</f>
        <v/>
      </c>
      <c r="E104" s="13" t="str">
        <f aca="false">IF($A104="","",IFERROR(IF(_xlfn.MAXIFS('Restock Log'!$D:$D,'Restock Log'!$B:$B,A104)=0,"None",_xlfn.MAXIFS('Restock Log'!$D:$D,'Restock Log'!$B:$B,A104)),"None"))</f>
        <v/>
      </c>
      <c r="F104" s="13" t="str">
        <f aca="false">IF($A104="","",IF(E104="None","",E104+D104))</f>
        <v/>
      </c>
      <c r="G104" s="14" t="str">
        <f aca="true">IF($A104="","",IF(F104="","",F104-TODAY()))</f>
        <v/>
      </c>
      <c r="H104" s="14" t="str">
        <f aca="false">IF($A104="","",Properties!G95)</f>
        <v/>
      </c>
      <c r="I104" s="15" t="str">
        <f aca="false">IF($A104="","",IF(H104="Y","URGENT",IF(E104="None","NOT SET",IF(G104&lt;0,"OVERDUE",IF(G104&lt;=7,"DUE SOON","OK")))))</f>
        <v/>
      </c>
    </row>
    <row r="105" customFormat="false" ht="15" hidden="false" customHeight="false" outlineLevel="0" collapsed="false">
      <c r="A105" s="12" t="str">
        <f aca="false">IF(Properties!A96="","",Properties!A96)</f>
        <v/>
      </c>
      <c r="B105" s="12" t="str">
        <f aca="false">IF($A105="","",Properties!B96)</f>
        <v/>
      </c>
      <c r="C105" s="12" t="str">
        <f aca="false">IF($A105="","",Properties!C96)</f>
        <v/>
      </c>
      <c r="D105" s="12" t="str">
        <f aca="false">IF($A105="","",Properties!F96)</f>
        <v/>
      </c>
      <c r="E105" s="13" t="str">
        <f aca="false">IF($A105="","",IFERROR(IF(_xlfn.MAXIFS('Restock Log'!$D:$D,'Restock Log'!$B:$B,A105)=0,"None",_xlfn.MAXIFS('Restock Log'!$D:$D,'Restock Log'!$B:$B,A105)),"None"))</f>
        <v/>
      </c>
      <c r="F105" s="13" t="str">
        <f aca="false">IF($A105="","",IF(E105="None","",E105+D105))</f>
        <v/>
      </c>
      <c r="G105" s="14" t="str">
        <f aca="true">IF($A105="","",IF(F105="","",F105-TODAY()))</f>
        <v/>
      </c>
      <c r="H105" s="14" t="str">
        <f aca="false">IF($A105="","",Properties!G96)</f>
        <v/>
      </c>
      <c r="I105" s="15" t="str">
        <f aca="false">IF($A105="","",IF(H105="Y","URGENT",IF(E105="None","NOT SET",IF(G105&lt;0,"OVERDUE",IF(G105&lt;=7,"DUE SOON","OK")))))</f>
        <v/>
      </c>
    </row>
    <row r="106" customFormat="false" ht="15" hidden="false" customHeight="false" outlineLevel="0" collapsed="false">
      <c r="A106" s="12" t="str">
        <f aca="false">IF(Properties!A97="","",Properties!A97)</f>
        <v/>
      </c>
      <c r="B106" s="12" t="str">
        <f aca="false">IF($A106="","",Properties!B97)</f>
        <v/>
      </c>
      <c r="C106" s="12" t="str">
        <f aca="false">IF($A106="","",Properties!C97)</f>
        <v/>
      </c>
      <c r="D106" s="12" t="str">
        <f aca="false">IF($A106="","",Properties!F97)</f>
        <v/>
      </c>
      <c r="E106" s="13" t="str">
        <f aca="false">IF($A106="","",IFERROR(IF(_xlfn.MAXIFS('Restock Log'!$D:$D,'Restock Log'!$B:$B,A106)=0,"None",_xlfn.MAXIFS('Restock Log'!$D:$D,'Restock Log'!$B:$B,A106)),"None"))</f>
        <v/>
      </c>
      <c r="F106" s="13" t="str">
        <f aca="false">IF($A106="","",IF(E106="None","",E106+D106))</f>
        <v/>
      </c>
      <c r="G106" s="14" t="str">
        <f aca="true">IF($A106="","",IF(F106="","",F106-TODAY()))</f>
        <v/>
      </c>
      <c r="H106" s="14" t="str">
        <f aca="false">IF($A106="","",Properties!G97)</f>
        <v/>
      </c>
      <c r="I106" s="15" t="str">
        <f aca="false">IF($A106="","",IF(H106="Y","URGENT",IF(E106="None","NOT SET",IF(G106&lt;0,"OVERDUE",IF(G106&lt;=7,"DUE SOON","OK")))))</f>
        <v/>
      </c>
    </row>
    <row r="107" customFormat="false" ht="15" hidden="false" customHeight="false" outlineLevel="0" collapsed="false">
      <c r="A107" s="12" t="str">
        <f aca="false">IF(Properties!A98="","",Properties!A98)</f>
        <v/>
      </c>
      <c r="B107" s="12" t="str">
        <f aca="false">IF($A107="","",Properties!B98)</f>
        <v/>
      </c>
      <c r="C107" s="12" t="str">
        <f aca="false">IF($A107="","",Properties!C98)</f>
        <v/>
      </c>
      <c r="D107" s="12" t="str">
        <f aca="false">IF($A107="","",Properties!F98)</f>
        <v/>
      </c>
      <c r="E107" s="13" t="str">
        <f aca="false">IF($A107="","",IFERROR(IF(_xlfn.MAXIFS('Restock Log'!$D:$D,'Restock Log'!$B:$B,A107)=0,"None",_xlfn.MAXIFS('Restock Log'!$D:$D,'Restock Log'!$B:$B,A107)),"None"))</f>
        <v/>
      </c>
      <c r="F107" s="13" t="str">
        <f aca="false">IF($A107="","",IF(E107="None","",E107+D107))</f>
        <v/>
      </c>
      <c r="G107" s="14" t="str">
        <f aca="true">IF($A107="","",IF(F107="","",F107-TODAY()))</f>
        <v/>
      </c>
      <c r="H107" s="14" t="str">
        <f aca="false">IF($A107="","",Properties!G98)</f>
        <v/>
      </c>
      <c r="I107" s="15" t="str">
        <f aca="false">IF($A107="","",IF(H107="Y","URGENT",IF(E107="None","NOT SET",IF(G107&lt;0,"OVERDUE",IF(G107&lt;=7,"DUE SOON","OK")))))</f>
        <v/>
      </c>
    </row>
    <row r="108" customFormat="false" ht="15" hidden="false" customHeight="false" outlineLevel="0" collapsed="false">
      <c r="A108" s="12" t="str">
        <f aca="false">IF(Properties!A99="","",Properties!A99)</f>
        <v/>
      </c>
      <c r="B108" s="12" t="str">
        <f aca="false">IF($A108="","",Properties!B99)</f>
        <v/>
      </c>
      <c r="C108" s="12" t="str">
        <f aca="false">IF($A108="","",Properties!C99)</f>
        <v/>
      </c>
      <c r="D108" s="12" t="str">
        <f aca="false">IF($A108="","",Properties!F99)</f>
        <v/>
      </c>
      <c r="E108" s="13" t="str">
        <f aca="false">IF($A108="","",IFERROR(IF(_xlfn.MAXIFS('Restock Log'!$D:$D,'Restock Log'!$B:$B,A108)=0,"None",_xlfn.MAXIFS('Restock Log'!$D:$D,'Restock Log'!$B:$B,A108)),"None"))</f>
        <v/>
      </c>
      <c r="F108" s="13" t="str">
        <f aca="false">IF($A108="","",IF(E108="None","",E108+D108))</f>
        <v/>
      </c>
      <c r="G108" s="14" t="str">
        <f aca="true">IF($A108="","",IF(F108="","",F108-TODAY()))</f>
        <v/>
      </c>
      <c r="H108" s="14" t="str">
        <f aca="false">IF($A108="","",Properties!G99)</f>
        <v/>
      </c>
      <c r="I108" s="15" t="str">
        <f aca="false">IF($A108="","",IF(H108="Y","URGENT",IF(E108="None","NOT SET",IF(G108&lt;0,"OVERDUE",IF(G108&lt;=7,"DUE SOON","OK")))))</f>
        <v/>
      </c>
    </row>
    <row r="109" customFormat="false" ht="15" hidden="false" customHeight="false" outlineLevel="0" collapsed="false">
      <c r="A109" s="12" t="str">
        <f aca="false">IF(Properties!A100="","",Properties!A100)</f>
        <v/>
      </c>
      <c r="B109" s="12" t="str">
        <f aca="false">IF($A109="","",Properties!B100)</f>
        <v/>
      </c>
      <c r="C109" s="12" t="str">
        <f aca="false">IF($A109="","",Properties!C100)</f>
        <v/>
      </c>
      <c r="D109" s="12" t="str">
        <f aca="false">IF($A109="","",Properties!F100)</f>
        <v/>
      </c>
      <c r="E109" s="13" t="str">
        <f aca="false">IF($A109="","",IFERROR(IF(_xlfn.MAXIFS('Restock Log'!$D:$D,'Restock Log'!$B:$B,A109)=0,"None",_xlfn.MAXIFS('Restock Log'!$D:$D,'Restock Log'!$B:$B,A109)),"None"))</f>
        <v/>
      </c>
      <c r="F109" s="13" t="str">
        <f aca="false">IF($A109="","",IF(E109="None","",E109+D109))</f>
        <v/>
      </c>
      <c r="G109" s="14" t="str">
        <f aca="true">IF($A109="","",IF(F109="","",F109-TODAY()))</f>
        <v/>
      </c>
      <c r="H109" s="14" t="str">
        <f aca="false">IF($A109="","",Properties!G100)</f>
        <v/>
      </c>
      <c r="I109" s="15" t="str">
        <f aca="false">IF($A109="","",IF(H109="Y","URGENT",IF(E109="None","NOT SET",IF(G109&lt;0,"OVERDUE",IF(G109&lt;=7,"DUE SOON","OK")))))</f>
        <v/>
      </c>
    </row>
    <row r="110" customFormat="false" ht="15" hidden="false" customHeight="false" outlineLevel="0" collapsed="false">
      <c r="A110" s="12" t="str">
        <f aca="false">IF(Properties!A101="","",Properties!A101)</f>
        <v/>
      </c>
      <c r="B110" s="12" t="str">
        <f aca="false">IF($A110="","",Properties!B101)</f>
        <v/>
      </c>
      <c r="C110" s="12" t="str">
        <f aca="false">IF($A110="","",Properties!C101)</f>
        <v/>
      </c>
      <c r="D110" s="12" t="str">
        <f aca="false">IF($A110="","",Properties!F101)</f>
        <v/>
      </c>
      <c r="E110" s="13" t="str">
        <f aca="false">IF($A110="","",IFERROR(IF(_xlfn.MAXIFS('Restock Log'!$D:$D,'Restock Log'!$B:$B,A110)=0,"None",_xlfn.MAXIFS('Restock Log'!$D:$D,'Restock Log'!$B:$B,A110)),"None"))</f>
        <v/>
      </c>
      <c r="F110" s="13" t="str">
        <f aca="false">IF($A110="","",IF(E110="None","",E110+D110))</f>
        <v/>
      </c>
      <c r="G110" s="14" t="str">
        <f aca="true">IF($A110="","",IF(F110="","",F110-TODAY()))</f>
        <v/>
      </c>
      <c r="H110" s="14" t="str">
        <f aca="false">IF($A110="","",Properties!G101)</f>
        <v/>
      </c>
      <c r="I110" s="15" t="str">
        <f aca="false">IF($A110="","",IF(H110="Y","URGENT",IF(E110="None","NOT SET",IF(G110&lt;0,"OVERDUE",IF(G110&lt;=7,"DUE SOON","OK")))))</f>
        <v/>
      </c>
    </row>
  </sheetData>
  <mergeCells count="2">
    <mergeCell ref="A1:I1"/>
    <mergeCell ref="A2:I2"/>
  </mergeCells>
  <conditionalFormatting sqref="I11:I110">
    <cfRule type="cellIs" priority="2" operator="equal" aboveAverage="0" equalAverage="0" bottom="0" percent="0" rank="0" text="" dxfId="0">
      <formula>"URGENT"</formula>
    </cfRule>
    <cfRule type="cellIs" priority="3" operator="equal" aboveAverage="0" equalAverage="0" bottom="0" percent="0" rank="0" text="" dxfId="1">
      <formula>"OVERDUE"</formula>
    </cfRule>
    <cfRule type="cellIs" priority="4" operator="equal" aboveAverage="0" equalAverage="0" bottom="0" percent="0" rank="0" text="" dxfId="2">
      <formula>"DUE SOON"</formula>
    </cfRule>
    <cfRule type="cellIs" priority="5" operator="equal" aboveAverage="0" equalAverage="0" bottom="0" percent="0" rank="0" text="" dxfId="3">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2"/>
    <col collapsed="false" customWidth="true" hidden="false" outlineLevel="0" max="4" min="4" style="0" width="11"/>
    <col collapsed="false" customWidth="true" hidden="false" outlineLevel="0" max="6" min="5" style="0" width="20"/>
    <col collapsed="false" customWidth="true" hidden="false" outlineLevel="0" max="7" min="7" style="0" width="22"/>
    <col collapsed="false" customWidth="true" hidden="false" outlineLevel="0" max="8" min="8" style="0" width="10"/>
    <col collapsed="false" customWidth="true" hidden="false" outlineLevel="0" max="9" min="9" style="0" width="16"/>
    <col collapsed="false" customWidth="true" hidden="false" outlineLevel="0" max="10" min="10" style="0" width="11"/>
  </cols>
  <sheetData>
    <row r="1" customFormat="false" ht="31.5" hidden="false" customHeight="true" outlineLevel="0" collapsed="false">
      <c r="A1" s="11" t="s">
        <v>36</v>
      </c>
      <c r="B1" s="11" t="s">
        <v>45</v>
      </c>
      <c r="C1" s="11" t="s">
        <v>38</v>
      </c>
      <c r="D1" s="11" t="s">
        <v>46</v>
      </c>
      <c r="E1" s="11" t="s">
        <v>47</v>
      </c>
      <c r="F1" s="11" t="s">
        <v>39</v>
      </c>
      <c r="G1" s="11" t="s">
        <v>48</v>
      </c>
      <c r="H1" s="11" t="s">
        <v>49</v>
      </c>
      <c r="I1" s="11" t="s">
        <v>50</v>
      </c>
      <c r="J1" s="11" t="s">
        <v>51</v>
      </c>
    </row>
    <row r="2" customFormat="false" ht="15" hidden="false" customHeight="false" outlineLevel="0" collapsed="false">
      <c r="A2" s="16" t="s">
        <v>52</v>
      </c>
      <c r="B2" s="16" t="s">
        <v>53</v>
      </c>
      <c r="C2" s="16" t="s">
        <v>54</v>
      </c>
      <c r="D2" s="16" t="n">
        <v>1</v>
      </c>
      <c r="E2" s="16" t="s">
        <v>55</v>
      </c>
      <c r="F2" s="16" t="n">
        <v>14</v>
      </c>
      <c r="G2" s="16" t="s">
        <v>56</v>
      </c>
      <c r="H2" s="16" t="s">
        <v>57</v>
      </c>
      <c r="I2" s="16"/>
      <c r="J2" s="16" t="s">
        <v>58</v>
      </c>
    </row>
    <row r="3" customFormat="false" ht="15" hidden="false" customHeight="false" outlineLevel="0" collapsed="false">
      <c r="A3" s="16" t="s">
        <v>59</v>
      </c>
      <c r="B3" s="16" t="s">
        <v>60</v>
      </c>
      <c r="C3" s="16" t="s">
        <v>54</v>
      </c>
      <c r="D3" s="16" t="n">
        <v>1</v>
      </c>
      <c r="E3" s="16" t="s">
        <v>55</v>
      </c>
      <c r="F3" s="16" t="n">
        <v>14</v>
      </c>
      <c r="G3" s="17" t="s">
        <v>57</v>
      </c>
      <c r="H3" s="16" t="s">
        <v>57</v>
      </c>
      <c r="I3" s="16"/>
      <c r="J3" s="16" t="s">
        <v>58</v>
      </c>
    </row>
    <row r="4" customFormat="false" ht="15" hidden="false" customHeight="false" outlineLevel="0" collapsed="false">
      <c r="A4" s="16" t="s">
        <v>61</v>
      </c>
      <c r="B4" s="16" t="s">
        <v>62</v>
      </c>
      <c r="C4" s="16" t="s">
        <v>54</v>
      </c>
      <c r="D4" s="16" t="n">
        <v>1</v>
      </c>
      <c r="E4" s="16" t="s">
        <v>55</v>
      </c>
      <c r="F4" s="16" t="n">
        <v>14</v>
      </c>
      <c r="G4" s="16" t="s">
        <v>56</v>
      </c>
      <c r="H4" s="16" t="s">
        <v>57</v>
      </c>
      <c r="I4" s="16"/>
      <c r="J4" s="16" t="s">
        <v>58</v>
      </c>
    </row>
    <row r="5" customFormat="false" ht="15" hidden="false" customHeight="false" outlineLevel="0" collapsed="false">
      <c r="A5" s="16" t="s">
        <v>63</v>
      </c>
      <c r="B5" s="16" t="s">
        <v>64</v>
      </c>
      <c r="C5" s="16" t="s">
        <v>54</v>
      </c>
      <c r="D5" s="16" t="n">
        <v>1</v>
      </c>
      <c r="E5" s="16" t="s">
        <v>55</v>
      </c>
      <c r="F5" s="16" t="n">
        <v>14</v>
      </c>
      <c r="G5" s="16" t="s">
        <v>56</v>
      </c>
      <c r="H5" s="16" t="s">
        <v>57</v>
      </c>
      <c r="I5" s="16"/>
      <c r="J5" s="16" t="s">
        <v>58</v>
      </c>
    </row>
    <row r="6" customFormat="false" ht="15" hidden="false" customHeight="false" outlineLevel="0" collapsed="false">
      <c r="A6" s="16" t="s">
        <v>65</v>
      </c>
      <c r="B6" s="16" t="s">
        <v>66</v>
      </c>
      <c r="C6" s="16" t="s">
        <v>67</v>
      </c>
      <c r="D6" s="16" t="n">
        <v>1</v>
      </c>
      <c r="E6" s="16" t="s">
        <v>68</v>
      </c>
      <c r="F6" s="16" t="n">
        <v>90</v>
      </c>
      <c r="G6" s="16" t="s">
        <v>56</v>
      </c>
      <c r="H6" s="16" t="s">
        <v>57</v>
      </c>
      <c r="I6" s="16"/>
      <c r="J6" s="16" t="s">
        <v>58</v>
      </c>
    </row>
    <row r="7" customFormat="false" ht="15" hidden="false" customHeight="false" outlineLevel="0" collapsed="false">
      <c r="A7" s="16" t="s">
        <v>69</v>
      </c>
      <c r="B7" s="16" t="s">
        <v>70</v>
      </c>
      <c r="C7" s="16" t="s">
        <v>67</v>
      </c>
      <c r="D7" s="16" t="n">
        <v>1</v>
      </c>
      <c r="E7" s="16" t="s">
        <v>68</v>
      </c>
      <c r="F7" s="16" t="n">
        <v>90</v>
      </c>
      <c r="G7" s="16" t="s">
        <v>56</v>
      </c>
      <c r="H7" s="16" t="s">
        <v>57</v>
      </c>
      <c r="I7" s="16"/>
      <c r="J7" s="16" t="s">
        <v>58</v>
      </c>
    </row>
    <row r="8" customFormat="false" ht="15" hidden="false" customHeight="false" outlineLevel="0" collapsed="false">
      <c r="A8" s="16" t="s">
        <v>71</v>
      </c>
      <c r="B8" s="16" t="s">
        <v>72</v>
      </c>
      <c r="C8" s="16" t="s">
        <v>73</v>
      </c>
      <c r="D8" s="16" t="n">
        <v>1</v>
      </c>
      <c r="E8" s="16" t="s">
        <v>74</v>
      </c>
      <c r="F8" s="16" t="n">
        <v>60</v>
      </c>
      <c r="G8" s="16" t="s">
        <v>56</v>
      </c>
      <c r="H8" s="16" t="s">
        <v>57</v>
      </c>
      <c r="I8" s="16"/>
      <c r="J8" s="16" t="s">
        <v>58</v>
      </c>
    </row>
    <row r="9" customFormat="false" ht="15" hidden="false" customHeight="false" outlineLevel="0" collapsed="false">
      <c r="A9" s="16" t="s">
        <v>75</v>
      </c>
      <c r="B9" s="16" t="s">
        <v>76</v>
      </c>
      <c r="C9" s="16" t="s">
        <v>73</v>
      </c>
      <c r="D9" s="16" t="n">
        <v>1</v>
      </c>
      <c r="E9" s="16" t="s">
        <v>74</v>
      </c>
      <c r="F9" s="16" t="n">
        <v>60</v>
      </c>
      <c r="G9" s="16" t="s">
        <v>56</v>
      </c>
      <c r="H9" s="16" t="s">
        <v>57</v>
      </c>
      <c r="I9" s="16"/>
      <c r="J9" s="16" t="s">
        <v>58</v>
      </c>
    </row>
  </sheetData>
  <dataValidations count="3">
    <dataValidation allowBlank="true" errorStyle="stop" operator="between" showDropDown="false" showErrorMessage="false" showInputMessage="false" sqref="C2:C200" type="list">
      <formula1>"STR,LTR,HUD-VASH"</formula1>
      <formula2>0</formula2>
    </dataValidation>
    <dataValidation allowBlank="true" errorStyle="stop" operator="between" showDropDown="false" showErrorMessage="false" showInputMessage="false" sqref="G2:H200" type="list">
      <formula1>"Y,N"</formula1>
      <formula2>0</formula2>
    </dataValidation>
    <dataValidation allowBlank="true" errorStyle="stop" operator="between" showDropDown="false" showErrorMessage="false" showInputMessage="false" sqref="J2:J200" type="list">
      <formula1>"Hostaway,Manual"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6"/>
    <col collapsed="false" customWidth="true" hidden="false" outlineLevel="0" max="5" min="4" style="0" width="14"/>
    <col collapsed="false" customWidth="true" hidden="false" outlineLevel="0" max="6" min="6" style="0" width="15"/>
    <col collapsed="false" customWidth="true" hidden="false" outlineLevel="0" max="7" min="7" style="0" width="12"/>
    <col collapsed="false" customWidth="true" hidden="false" outlineLevel="0" max="8" min="8" style="0" width="20"/>
    <col collapsed="false" customWidth="true" hidden="false" outlineLevel="0" max="9" min="9" style="0" width="11"/>
    <col collapsed="false" customWidth="true" hidden="false" outlineLevel="0" max="10" min="10" style="0" width="14"/>
  </cols>
  <sheetData>
    <row r="1" customFormat="false" ht="31.5" hidden="false" customHeight="true" outlineLevel="0" collapsed="false">
      <c r="A1" s="11" t="s">
        <v>77</v>
      </c>
      <c r="B1" s="11" t="s">
        <v>78</v>
      </c>
      <c r="C1" s="11" t="s">
        <v>79</v>
      </c>
      <c r="D1" s="11" t="s">
        <v>80</v>
      </c>
      <c r="E1" s="11" t="s">
        <v>81</v>
      </c>
      <c r="F1" s="11" t="s">
        <v>82</v>
      </c>
      <c r="G1" s="11" t="s">
        <v>83</v>
      </c>
      <c r="H1" s="11" t="s">
        <v>84</v>
      </c>
      <c r="I1" s="11" t="s">
        <v>85</v>
      </c>
      <c r="J1" s="11" t="s">
        <v>86</v>
      </c>
    </row>
    <row r="2" customFormat="false" ht="15" hidden="false" customHeight="false" outlineLevel="0" collapsed="false">
      <c r="A2" s="16" t="s">
        <v>87</v>
      </c>
      <c r="B2" s="16" t="s">
        <v>88</v>
      </c>
      <c r="C2" s="16" t="s">
        <v>89</v>
      </c>
      <c r="D2" s="16" t="s">
        <v>90</v>
      </c>
      <c r="E2" s="16" t="n">
        <v>140</v>
      </c>
      <c r="F2" s="16" t="n">
        <v>60</v>
      </c>
      <c r="G2" s="16" t="n">
        <v>120</v>
      </c>
      <c r="H2" s="16" t="s">
        <v>91</v>
      </c>
      <c r="I2" s="18" t="n">
        <v>8.5</v>
      </c>
      <c r="J2" s="12" t="str">
        <f aca="false">IF(E2&lt;=F2,"YES","")</f>
        <v/>
      </c>
    </row>
    <row r="3" customFormat="false" ht="15" hidden="false" customHeight="false" outlineLevel="0" collapsed="false">
      <c r="A3" s="16" t="s">
        <v>92</v>
      </c>
      <c r="B3" s="16" t="s">
        <v>93</v>
      </c>
      <c r="C3" s="16" t="s">
        <v>94</v>
      </c>
      <c r="D3" s="16" t="s">
        <v>90</v>
      </c>
      <c r="E3" s="16" t="n">
        <v>90</v>
      </c>
      <c r="F3" s="16" t="n">
        <v>40</v>
      </c>
      <c r="G3" s="16" t="n">
        <v>80</v>
      </c>
      <c r="H3" s="16" t="s">
        <v>91</v>
      </c>
      <c r="I3" s="18" t="n">
        <v>3.25</v>
      </c>
      <c r="J3" s="12" t="str">
        <f aca="false">IF(E3&lt;=F3,"YES","")</f>
        <v/>
      </c>
    </row>
    <row r="4" customFormat="false" ht="15" hidden="false" customHeight="false" outlineLevel="0" collapsed="false">
      <c r="A4" s="16" t="s">
        <v>95</v>
      </c>
      <c r="B4" s="16" t="s">
        <v>96</v>
      </c>
      <c r="C4" s="16" t="s">
        <v>89</v>
      </c>
      <c r="D4" s="16" t="s">
        <v>97</v>
      </c>
      <c r="E4" s="16" t="n">
        <v>55</v>
      </c>
      <c r="F4" s="16" t="n">
        <v>24</v>
      </c>
      <c r="G4" s="16" t="n">
        <v>48</v>
      </c>
      <c r="H4" s="16" t="s">
        <v>91</v>
      </c>
      <c r="I4" s="18" t="n">
        <v>4.1</v>
      </c>
      <c r="J4" s="12" t="str">
        <f aca="false">IF(E4&lt;=F4,"YES","")</f>
        <v/>
      </c>
    </row>
    <row r="5" customFormat="false" ht="15" hidden="false" customHeight="false" outlineLevel="0" collapsed="false">
      <c r="A5" s="16" t="s">
        <v>98</v>
      </c>
      <c r="B5" s="16" t="s">
        <v>99</v>
      </c>
      <c r="C5" s="16" t="s">
        <v>100</v>
      </c>
      <c r="D5" s="16" t="s">
        <v>97</v>
      </c>
      <c r="E5" s="16" t="n">
        <v>48</v>
      </c>
      <c r="F5" s="16" t="n">
        <v>20</v>
      </c>
      <c r="G5" s="16" t="n">
        <v>40</v>
      </c>
      <c r="H5" s="16" t="s">
        <v>91</v>
      </c>
      <c r="I5" s="18" t="n">
        <v>3.6</v>
      </c>
      <c r="J5" s="12" t="str">
        <f aca="false">IF(E5&lt;=F5,"YES","")</f>
        <v/>
      </c>
    </row>
    <row r="6" customFormat="false" ht="15" hidden="false" customHeight="false" outlineLevel="0" collapsed="false">
      <c r="A6" s="16" t="s">
        <v>101</v>
      </c>
      <c r="B6" s="16" t="s">
        <v>102</v>
      </c>
      <c r="C6" s="16" t="s">
        <v>103</v>
      </c>
      <c r="D6" s="16" t="s">
        <v>104</v>
      </c>
      <c r="E6" s="16" t="n">
        <v>35</v>
      </c>
      <c r="F6" s="16" t="n">
        <v>15</v>
      </c>
      <c r="G6" s="16" t="n">
        <v>30</v>
      </c>
      <c r="H6" s="16" t="s">
        <v>105</v>
      </c>
      <c r="I6" s="18" t="n">
        <v>9.75</v>
      </c>
      <c r="J6" s="12" t="str">
        <f aca="false">IF(E6&lt;=F6,"YES","")</f>
        <v/>
      </c>
    </row>
    <row r="7" customFormat="false" ht="15" hidden="false" customHeight="false" outlineLevel="0" collapsed="false">
      <c r="A7" s="16" t="s">
        <v>106</v>
      </c>
      <c r="B7" s="16" t="s">
        <v>107</v>
      </c>
      <c r="C7" s="16" t="s">
        <v>103</v>
      </c>
      <c r="D7" s="16" t="s">
        <v>104</v>
      </c>
      <c r="E7" s="16" t="n">
        <v>22</v>
      </c>
      <c r="F7" s="16" t="n">
        <v>10</v>
      </c>
      <c r="G7" s="16" t="n">
        <v>20</v>
      </c>
      <c r="H7" s="16" t="s">
        <v>91</v>
      </c>
      <c r="I7" s="18" t="n">
        <v>14</v>
      </c>
      <c r="J7" s="12" t="str">
        <f aca="false">IF(E7&lt;=F7,"YES","")</f>
        <v/>
      </c>
    </row>
    <row r="8" customFormat="false" ht="15" hidden="false" customHeight="false" outlineLevel="0" collapsed="false">
      <c r="A8" s="16" t="s">
        <v>108</v>
      </c>
      <c r="B8" s="16" t="s">
        <v>109</v>
      </c>
      <c r="C8" s="16" t="s">
        <v>100</v>
      </c>
      <c r="D8" s="16" t="s">
        <v>104</v>
      </c>
      <c r="E8" s="16" t="n">
        <v>60</v>
      </c>
      <c r="F8" s="16" t="n">
        <v>25</v>
      </c>
      <c r="G8" s="16" t="n">
        <v>50</v>
      </c>
      <c r="H8" s="16" t="s">
        <v>91</v>
      </c>
      <c r="I8" s="18" t="n">
        <v>12.5</v>
      </c>
      <c r="J8" s="12" t="str">
        <f aca="false">IF(E8&lt;=F8,"YES","")</f>
        <v/>
      </c>
    </row>
    <row r="9" customFormat="false" ht="15" hidden="false" customHeight="false" outlineLevel="0" collapsed="false">
      <c r="A9" s="16" t="s">
        <v>110</v>
      </c>
      <c r="B9" s="16" t="s">
        <v>111</v>
      </c>
      <c r="C9" s="16" t="s">
        <v>100</v>
      </c>
      <c r="D9" s="16" t="s">
        <v>104</v>
      </c>
      <c r="E9" s="16" t="n">
        <v>18</v>
      </c>
      <c r="F9" s="16" t="n">
        <v>12</v>
      </c>
      <c r="G9" s="16" t="n">
        <v>24</v>
      </c>
      <c r="H9" s="16" t="s">
        <v>91</v>
      </c>
      <c r="I9" s="18" t="n">
        <v>11.25</v>
      </c>
      <c r="J9" s="12" t="str">
        <f aca="false">IF(E9&lt;=F9,"YES","")</f>
        <v/>
      </c>
    </row>
    <row r="10" customFormat="false" ht="15" hidden="false" customHeight="false" outlineLevel="0" collapsed="false">
      <c r="A10" s="16" t="s">
        <v>112</v>
      </c>
      <c r="B10" s="16" t="s">
        <v>113</v>
      </c>
      <c r="C10" s="16" t="s">
        <v>114</v>
      </c>
      <c r="D10" s="16" t="s">
        <v>115</v>
      </c>
      <c r="E10" s="16" t="n">
        <v>40</v>
      </c>
      <c r="F10" s="16" t="n">
        <v>15</v>
      </c>
      <c r="G10" s="16" t="n">
        <v>30</v>
      </c>
      <c r="H10" s="16" t="s">
        <v>116</v>
      </c>
      <c r="I10" s="18" t="n">
        <v>2.75</v>
      </c>
      <c r="J10" s="12" t="str">
        <f aca="false">IF(E10&lt;=F10,"YES","")</f>
        <v/>
      </c>
    </row>
    <row r="11" customFormat="false" ht="15" hidden="false" customHeight="false" outlineLevel="0" collapsed="false">
      <c r="A11" s="16" t="s">
        <v>117</v>
      </c>
      <c r="B11" s="16" t="s">
        <v>118</v>
      </c>
      <c r="C11" s="16" t="s">
        <v>114</v>
      </c>
      <c r="D11" s="16" t="s">
        <v>115</v>
      </c>
      <c r="E11" s="16" t="n">
        <v>25</v>
      </c>
      <c r="F11" s="16" t="n">
        <v>10</v>
      </c>
      <c r="G11" s="16" t="n">
        <v>20</v>
      </c>
      <c r="H11" s="16" t="s">
        <v>91</v>
      </c>
      <c r="I11" s="18" t="n">
        <v>5.5</v>
      </c>
      <c r="J11" s="12" t="str">
        <f aca="false">IF(E11&lt;=F11,"YES","")</f>
        <v/>
      </c>
    </row>
    <row r="12" customFormat="false" ht="15" hidden="false" customHeight="false" outlineLevel="0" collapsed="false">
      <c r="A12" s="16" t="s">
        <v>119</v>
      </c>
      <c r="B12" s="16" t="s">
        <v>120</v>
      </c>
      <c r="C12" s="16" t="s">
        <v>114</v>
      </c>
      <c r="D12" s="16" t="s">
        <v>115</v>
      </c>
      <c r="E12" s="16" t="n">
        <v>6</v>
      </c>
      <c r="F12" s="16" t="n">
        <v>8</v>
      </c>
      <c r="G12" s="16" t="n">
        <v>16</v>
      </c>
      <c r="H12" s="16" t="s">
        <v>116</v>
      </c>
      <c r="I12" s="18" t="n">
        <v>13</v>
      </c>
      <c r="J12" s="12" t="str">
        <f aca="false">IF(E12&lt;=F12,"YES","")</f>
        <v>YES</v>
      </c>
    </row>
    <row r="13" customFormat="false" ht="15" hidden="false" customHeight="false" outlineLevel="0" collapsed="false">
      <c r="A13" s="16" t="s">
        <v>121</v>
      </c>
      <c r="B13" s="16" t="s">
        <v>122</v>
      </c>
      <c r="C13" s="16" t="s">
        <v>89</v>
      </c>
      <c r="D13" s="16" t="s">
        <v>115</v>
      </c>
      <c r="E13" s="16" t="n">
        <v>30</v>
      </c>
      <c r="F13" s="16" t="n">
        <v>20</v>
      </c>
      <c r="G13" s="16" t="n">
        <v>40</v>
      </c>
      <c r="H13" s="16" t="s">
        <v>123</v>
      </c>
      <c r="I13" s="18" t="n">
        <v>6</v>
      </c>
      <c r="J13" s="12" t="str">
        <f aca="false">IF(E13&lt;=F13,"YES","")</f>
        <v/>
      </c>
    </row>
  </sheetData>
  <conditionalFormatting sqref="A2:J500">
    <cfRule type="cellIs" priority="2" operator="equal" aboveAverage="0" equalAverage="0" bottom="0" percent="0" rank="0" text="" dxfId="1">
      <formula>"YES"</formula>
    </cfRule>
  </conditionalFormatting>
  <dataValidations count="1">
    <dataValidation allowBlank="true" errorStyle="stop" operator="between" showDropDown="false" showErrorMessage="false" showInputMessage="false" sqref="C2:C500" type="list">
      <formula1>"Toiletries,Paper Goods,Kitchen,Cleaning Supplies,Maintenance,Linens,Other"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4"/>
    <col collapsed="false" customWidth="true" hidden="false" outlineLevel="0" max="4" min="4" style="0" width="10"/>
    <col collapsed="false" customWidth="true" hidden="false" outlineLevel="0" max="5" min="5" style="0" width="22"/>
    <col collapsed="false" customWidth="true" hidden="false" outlineLevel="0" max="6" min="6" style="0" width="20"/>
  </cols>
  <sheetData>
    <row r="1" customFormat="false" ht="31.5" hidden="false" customHeight="true" outlineLevel="0" collapsed="false">
      <c r="A1" s="11" t="s">
        <v>124</v>
      </c>
      <c r="B1" s="11" t="s">
        <v>36</v>
      </c>
      <c r="C1" s="11" t="s">
        <v>37</v>
      </c>
      <c r="D1" s="11" t="s">
        <v>77</v>
      </c>
      <c r="E1" s="11" t="s">
        <v>78</v>
      </c>
      <c r="F1" s="11" t="s">
        <v>125</v>
      </c>
    </row>
    <row r="2" customFormat="false" ht="15" hidden="false" customHeight="false" outlineLevel="0" collapsed="false">
      <c r="A2" s="16" t="s">
        <v>126</v>
      </c>
      <c r="B2" s="16" t="s">
        <v>52</v>
      </c>
      <c r="C2" s="12" t="str">
        <f aca="false">IFERROR(INDEX(Properties!$B:$B,MATCH(B2,Properties!$A:$A,0)),"")</f>
        <v>4521 NW 12th St Unit A, Oklahoma City, OK</v>
      </c>
      <c r="D2" s="16" t="s">
        <v>87</v>
      </c>
      <c r="E2" s="12" t="str">
        <f aca="false">IFERROR(INDEX('Item Catalog'!$B:$B,MATCH(D2,'Item Catalog'!$A:$A,0)),"")</f>
        <v>Toilet Paper (4pk)</v>
      </c>
      <c r="F2" s="16" t="n">
        <v>4</v>
      </c>
    </row>
    <row r="3" customFormat="false" ht="15" hidden="false" customHeight="false" outlineLevel="0" collapsed="false">
      <c r="A3" s="16" t="s">
        <v>127</v>
      </c>
      <c r="B3" s="16" t="s">
        <v>52</v>
      </c>
      <c r="C3" s="12" t="str">
        <f aca="false">IFERROR(INDEX(Properties!$B:$B,MATCH(B3,Properties!$A:$A,0)),"")</f>
        <v>4521 NW 12th St Unit A, Oklahoma City, OK</v>
      </c>
      <c r="D3" s="16" t="s">
        <v>92</v>
      </c>
      <c r="E3" s="12" t="str">
        <f aca="false">IFERROR(INDEX('Item Catalog'!$B:$B,MATCH(D3,'Item Catalog'!$A:$A,0)),"")</f>
        <v>Paper Towels</v>
      </c>
      <c r="F3" s="16" t="n">
        <v>2</v>
      </c>
    </row>
    <row r="4" customFormat="false" ht="15" hidden="false" customHeight="false" outlineLevel="0" collapsed="false">
      <c r="A4" s="16" t="s">
        <v>128</v>
      </c>
      <c r="B4" s="16" t="s">
        <v>52</v>
      </c>
      <c r="C4" s="12" t="str">
        <f aca="false">IFERROR(INDEX(Properties!$B:$B,MATCH(B4,Properties!$A:$A,0)),"")</f>
        <v>4521 NW 12th St Unit A, Oklahoma City, OK</v>
      </c>
      <c r="D4" s="16" t="s">
        <v>95</v>
      </c>
      <c r="E4" s="12" t="str">
        <f aca="false">IFERROR(INDEX('Item Catalog'!$B:$B,MATCH(D4,'Item Catalog'!$A:$A,0)),"")</f>
        <v>Hand Soap</v>
      </c>
      <c r="F4" s="16" t="n">
        <v>2</v>
      </c>
    </row>
    <row r="5" customFormat="false" ht="15" hidden="false" customHeight="false" outlineLevel="0" collapsed="false">
      <c r="A5" s="16" t="s">
        <v>129</v>
      </c>
      <c r="B5" s="16" t="s">
        <v>52</v>
      </c>
      <c r="C5" s="12" t="str">
        <f aca="false">IFERROR(INDEX(Properties!$B:$B,MATCH(B5,Properties!$A:$A,0)),"")</f>
        <v>4521 NW 12th St Unit A, Oklahoma City, OK</v>
      </c>
      <c r="D5" s="16" t="s">
        <v>101</v>
      </c>
      <c r="E5" s="12" t="str">
        <f aca="false">IFERROR(INDEX('Item Catalog'!$B:$B,MATCH(D5,'Item Catalog'!$A:$A,0)),"")</f>
        <v>Trash Bags</v>
      </c>
      <c r="F5" s="16" t="n">
        <v>1</v>
      </c>
    </row>
    <row r="6" customFormat="false" ht="15" hidden="false" customHeight="false" outlineLevel="0" collapsed="false">
      <c r="A6" s="16" t="s">
        <v>130</v>
      </c>
      <c r="B6" s="16" t="s">
        <v>52</v>
      </c>
      <c r="C6" s="12" t="str">
        <f aca="false">IFERROR(INDEX(Properties!$B:$B,MATCH(B6,Properties!$A:$A,0)),"")</f>
        <v>4521 NW 12th St Unit A, Oklahoma City, OK</v>
      </c>
      <c r="D6" s="16" t="s">
        <v>121</v>
      </c>
      <c r="E6" s="12" t="str">
        <f aca="false">IFERROR(INDEX('Item Catalog'!$B:$B,MATCH(D6,'Item Catalog'!$A:$A,0)),"")</f>
        <v>Welcome Toiletry Kit</v>
      </c>
      <c r="F6" s="16" t="n">
        <v>2</v>
      </c>
    </row>
    <row r="7" customFormat="false" ht="15" hidden="false" customHeight="false" outlineLevel="0" collapsed="false">
      <c r="A7" s="16" t="s">
        <v>131</v>
      </c>
      <c r="B7" s="16" t="s">
        <v>59</v>
      </c>
      <c r="C7" s="12" t="str">
        <f aca="false">IFERROR(INDEX(Properties!$B:$B,MATCH(B7,Properties!$A:$A,0)),"")</f>
        <v>4523 NW 12th St Unit B, Oklahoma City, OK</v>
      </c>
      <c r="D7" s="16" t="s">
        <v>87</v>
      </c>
      <c r="E7" s="12" t="str">
        <f aca="false">IFERROR(INDEX('Item Catalog'!$B:$B,MATCH(D7,'Item Catalog'!$A:$A,0)),"")</f>
        <v>Toilet Paper (4pk)</v>
      </c>
      <c r="F7" s="16" t="n">
        <v>4</v>
      </c>
    </row>
    <row r="8" customFormat="false" ht="15" hidden="false" customHeight="false" outlineLevel="0" collapsed="false">
      <c r="A8" s="16" t="s">
        <v>132</v>
      </c>
      <c r="B8" s="16" t="s">
        <v>59</v>
      </c>
      <c r="C8" s="12" t="str">
        <f aca="false">IFERROR(INDEX(Properties!$B:$B,MATCH(B8,Properties!$A:$A,0)),"")</f>
        <v>4523 NW 12th St Unit B, Oklahoma City, OK</v>
      </c>
      <c r="D8" s="16" t="s">
        <v>92</v>
      </c>
      <c r="E8" s="12" t="str">
        <f aca="false">IFERROR(INDEX('Item Catalog'!$B:$B,MATCH(D8,'Item Catalog'!$A:$A,0)),"")</f>
        <v>Paper Towels</v>
      </c>
      <c r="F8" s="16" t="n">
        <v>2</v>
      </c>
    </row>
    <row r="9" customFormat="false" ht="15" hidden="false" customHeight="false" outlineLevel="0" collapsed="false">
      <c r="A9" s="16" t="s">
        <v>133</v>
      </c>
      <c r="B9" s="16" t="s">
        <v>59</v>
      </c>
      <c r="C9" s="12" t="str">
        <f aca="false">IFERROR(INDEX(Properties!$B:$B,MATCH(B9,Properties!$A:$A,0)),"")</f>
        <v>4523 NW 12th St Unit B, Oklahoma City, OK</v>
      </c>
      <c r="D9" s="16" t="s">
        <v>95</v>
      </c>
      <c r="E9" s="12" t="str">
        <f aca="false">IFERROR(INDEX('Item Catalog'!$B:$B,MATCH(D9,'Item Catalog'!$A:$A,0)),"")</f>
        <v>Hand Soap</v>
      </c>
      <c r="F9" s="16" t="n">
        <v>2</v>
      </c>
    </row>
    <row r="10" customFormat="false" ht="15" hidden="false" customHeight="false" outlineLevel="0" collapsed="false">
      <c r="A10" s="16" t="s">
        <v>134</v>
      </c>
      <c r="B10" s="16" t="s">
        <v>59</v>
      </c>
      <c r="C10" s="12" t="str">
        <f aca="false">IFERROR(INDEX(Properties!$B:$B,MATCH(B10,Properties!$A:$A,0)),"")</f>
        <v>4523 NW 12th St Unit B, Oklahoma City, OK</v>
      </c>
      <c r="D10" s="16" t="s">
        <v>101</v>
      </c>
      <c r="E10" s="12" t="str">
        <f aca="false">IFERROR(INDEX('Item Catalog'!$B:$B,MATCH(D10,'Item Catalog'!$A:$A,0)),"")</f>
        <v>Trash Bags</v>
      </c>
      <c r="F10" s="16" t="n">
        <v>1</v>
      </c>
    </row>
    <row r="11" customFormat="false" ht="15" hidden="false" customHeight="false" outlineLevel="0" collapsed="false">
      <c r="A11" s="16" t="s">
        <v>135</v>
      </c>
      <c r="B11" s="16" t="s">
        <v>59</v>
      </c>
      <c r="C11" s="12" t="str">
        <f aca="false">IFERROR(INDEX(Properties!$B:$B,MATCH(B11,Properties!$A:$A,0)),"")</f>
        <v>4523 NW 12th St Unit B, Oklahoma City, OK</v>
      </c>
      <c r="D11" s="16" t="s">
        <v>121</v>
      </c>
      <c r="E11" s="12" t="str">
        <f aca="false">IFERROR(INDEX('Item Catalog'!$B:$B,MATCH(D11,'Item Catalog'!$A:$A,0)),"")</f>
        <v>Welcome Toiletry Kit</v>
      </c>
      <c r="F11" s="16" t="n">
        <v>2</v>
      </c>
    </row>
    <row r="12" customFormat="false" ht="15" hidden="false" customHeight="false" outlineLevel="0" collapsed="false">
      <c r="A12" s="16" t="s">
        <v>136</v>
      </c>
      <c r="B12" s="16" t="s">
        <v>61</v>
      </c>
      <c r="C12" s="12" t="str">
        <f aca="false">IFERROR(INDEX(Properties!$B:$B,MATCH(B12,Properties!$A:$A,0)),"")</f>
        <v>4525 NW 12th St Unit C, Oklahoma City, OK</v>
      </c>
      <c r="D12" s="16" t="s">
        <v>87</v>
      </c>
      <c r="E12" s="12" t="str">
        <f aca="false">IFERROR(INDEX('Item Catalog'!$B:$B,MATCH(D12,'Item Catalog'!$A:$A,0)),"")</f>
        <v>Toilet Paper (4pk)</v>
      </c>
      <c r="F12" s="16" t="n">
        <v>4</v>
      </c>
    </row>
    <row r="13" customFormat="false" ht="15" hidden="false" customHeight="false" outlineLevel="0" collapsed="false">
      <c r="A13" s="16" t="s">
        <v>137</v>
      </c>
      <c r="B13" s="16" t="s">
        <v>61</v>
      </c>
      <c r="C13" s="12" t="str">
        <f aca="false">IFERROR(INDEX(Properties!$B:$B,MATCH(B13,Properties!$A:$A,0)),"")</f>
        <v>4525 NW 12th St Unit C, Oklahoma City, OK</v>
      </c>
      <c r="D13" s="16" t="s">
        <v>92</v>
      </c>
      <c r="E13" s="12" t="str">
        <f aca="false">IFERROR(INDEX('Item Catalog'!$B:$B,MATCH(D13,'Item Catalog'!$A:$A,0)),"")</f>
        <v>Paper Towels</v>
      </c>
      <c r="F13" s="16" t="n">
        <v>2</v>
      </c>
    </row>
    <row r="14" customFormat="false" ht="15" hidden="false" customHeight="false" outlineLevel="0" collapsed="false">
      <c r="A14" s="16" t="s">
        <v>138</v>
      </c>
      <c r="B14" s="16" t="s">
        <v>61</v>
      </c>
      <c r="C14" s="12" t="str">
        <f aca="false">IFERROR(INDEX(Properties!$B:$B,MATCH(B14,Properties!$A:$A,0)),"")</f>
        <v>4525 NW 12th St Unit C, Oklahoma City, OK</v>
      </c>
      <c r="D14" s="16" t="s">
        <v>101</v>
      </c>
      <c r="E14" s="12" t="str">
        <f aca="false">IFERROR(INDEX('Item Catalog'!$B:$B,MATCH(D14,'Item Catalog'!$A:$A,0)),"")</f>
        <v>Trash Bags</v>
      </c>
      <c r="F14" s="16" t="n">
        <v>1</v>
      </c>
    </row>
    <row r="15" customFormat="false" ht="15" hidden="false" customHeight="false" outlineLevel="0" collapsed="false">
      <c r="A15" s="16" t="s">
        <v>139</v>
      </c>
      <c r="B15" s="16" t="s">
        <v>61</v>
      </c>
      <c r="C15" s="12" t="str">
        <f aca="false">IFERROR(INDEX(Properties!$B:$B,MATCH(B15,Properties!$A:$A,0)),"")</f>
        <v>4525 NW 12th St Unit C, Oklahoma City, OK</v>
      </c>
      <c r="D15" s="16" t="s">
        <v>121</v>
      </c>
      <c r="E15" s="12" t="str">
        <f aca="false">IFERROR(INDEX('Item Catalog'!$B:$B,MATCH(D15,'Item Catalog'!$A:$A,0)),"")</f>
        <v>Welcome Toiletry Kit</v>
      </c>
      <c r="F15" s="16" t="n">
        <v>2</v>
      </c>
    </row>
    <row r="16" customFormat="false" ht="15" hidden="false" customHeight="false" outlineLevel="0" collapsed="false">
      <c r="A16" s="16" t="s">
        <v>140</v>
      </c>
      <c r="B16" s="16" t="s">
        <v>63</v>
      </c>
      <c r="C16" s="12" t="str">
        <f aca="false">IFERROR(INDEX(Properties!$B:$B,MATCH(B16,Properties!$A:$A,0)),"")</f>
        <v>4527 NW 12th St Unit D, Oklahoma City, OK</v>
      </c>
      <c r="D16" s="16" t="s">
        <v>87</v>
      </c>
      <c r="E16" s="12" t="str">
        <f aca="false">IFERROR(INDEX('Item Catalog'!$B:$B,MATCH(D16,'Item Catalog'!$A:$A,0)),"")</f>
        <v>Toilet Paper (4pk)</v>
      </c>
      <c r="F16" s="16" t="n">
        <v>4</v>
      </c>
    </row>
    <row r="17" customFormat="false" ht="15" hidden="false" customHeight="false" outlineLevel="0" collapsed="false">
      <c r="A17" s="16" t="s">
        <v>141</v>
      </c>
      <c r="B17" s="16" t="s">
        <v>63</v>
      </c>
      <c r="C17" s="12" t="str">
        <f aca="false">IFERROR(INDEX(Properties!$B:$B,MATCH(B17,Properties!$A:$A,0)),"")</f>
        <v>4527 NW 12th St Unit D, Oklahoma City, OK</v>
      </c>
      <c r="D17" s="16" t="s">
        <v>92</v>
      </c>
      <c r="E17" s="12" t="str">
        <f aca="false">IFERROR(INDEX('Item Catalog'!$B:$B,MATCH(D17,'Item Catalog'!$A:$A,0)),"")</f>
        <v>Paper Towels</v>
      </c>
      <c r="F17" s="16" t="n">
        <v>2</v>
      </c>
    </row>
    <row r="18" customFormat="false" ht="15" hidden="false" customHeight="false" outlineLevel="0" collapsed="false">
      <c r="A18" s="16" t="s">
        <v>142</v>
      </c>
      <c r="B18" s="16" t="s">
        <v>63</v>
      </c>
      <c r="C18" s="12" t="str">
        <f aca="false">IFERROR(INDEX(Properties!$B:$B,MATCH(B18,Properties!$A:$A,0)),"")</f>
        <v>4527 NW 12th St Unit D, Oklahoma City, OK</v>
      </c>
      <c r="D18" s="16" t="s">
        <v>101</v>
      </c>
      <c r="E18" s="12" t="str">
        <f aca="false">IFERROR(INDEX('Item Catalog'!$B:$B,MATCH(D18,'Item Catalog'!$A:$A,0)),"")</f>
        <v>Trash Bags</v>
      </c>
      <c r="F18" s="16" t="n">
        <v>1</v>
      </c>
    </row>
    <row r="19" customFormat="false" ht="15" hidden="false" customHeight="false" outlineLevel="0" collapsed="false">
      <c r="A19" s="16" t="s">
        <v>143</v>
      </c>
      <c r="B19" s="16" t="s">
        <v>63</v>
      </c>
      <c r="C19" s="12" t="str">
        <f aca="false">IFERROR(INDEX(Properties!$B:$B,MATCH(B19,Properties!$A:$A,0)),"")</f>
        <v>4527 NW 12th St Unit D, Oklahoma City, OK</v>
      </c>
      <c r="D19" s="16" t="s">
        <v>121</v>
      </c>
      <c r="E19" s="12" t="str">
        <f aca="false">IFERROR(INDEX('Item Catalog'!$B:$B,MATCH(D19,'Item Catalog'!$A:$A,0)),"")</f>
        <v>Welcome Toiletry Kit</v>
      </c>
      <c r="F19" s="16" t="n">
        <v>2</v>
      </c>
    </row>
    <row r="20" customFormat="false" ht="15" hidden="false" customHeight="false" outlineLevel="0" collapsed="false">
      <c r="A20" s="16" t="s">
        <v>144</v>
      </c>
      <c r="B20" s="16" t="s">
        <v>65</v>
      </c>
      <c r="C20" s="12" t="str">
        <f aca="false">IFERROR(INDEX(Properties!$B:$B,MATCH(B20,Properties!$A:$A,0)),"")</f>
        <v>1892 SE Grand Blvd, Oklahoma City, OK</v>
      </c>
      <c r="D20" s="16" t="s">
        <v>112</v>
      </c>
      <c r="E20" s="12" t="str">
        <f aca="false">IFERROR(INDEX('Item Catalog'!$B:$B,MATCH(D20,'Item Catalog'!$A:$A,0)),"")</f>
        <v>LED Light Bulb</v>
      </c>
      <c r="F20" s="16" t="n">
        <v>2</v>
      </c>
    </row>
    <row r="21" customFormat="false" ht="15" hidden="false" customHeight="false" outlineLevel="0" collapsed="false">
      <c r="A21" s="16" t="s">
        <v>145</v>
      </c>
      <c r="B21" s="16" t="s">
        <v>65</v>
      </c>
      <c r="C21" s="12" t="str">
        <f aca="false">IFERROR(INDEX(Properties!$B:$B,MATCH(B21,Properties!$A:$A,0)),"")</f>
        <v>1892 SE Grand Blvd, Oklahoma City, OK</v>
      </c>
      <c r="D21" s="16" t="s">
        <v>119</v>
      </c>
      <c r="E21" s="12" t="str">
        <f aca="false">IFERROR(INDEX('Item Catalog'!$B:$B,MATCH(D21,'Item Catalog'!$A:$A,0)),"")</f>
        <v>HVAC Air Filter 16x20</v>
      </c>
      <c r="F21" s="16" t="n">
        <v>1</v>
      </c>
    </row>
    <row r="22" customFormat="false" ht="15" hidden="false" customHeight="false" outlineLevel="0" collapsed="false">
      <c r="A22" s="16" t="s">
        <v>146</v>
      </c>
      <c r="B22" s="16" t="s">
        <v>69</v>
      </c>
      <c r="C22" s="12" t="str">
        <f aca="false">IFERROR(INDEX(Properties!$B:$B,MATCH(B22,Properties!$A:$A,0)),"")</f>
        <v>1140 SW 44th St, Oklahoma City, OK</v>
      </c>
      <c r="D22" s="16" t="s">
        <v>112</v>
      </c>
      <c r="E22" s="12" t="str">
        <f aca="false">IFERROR(INDEX('Item Catalog'!$B:$B,MATCH(D22,'Item Catalog'!$A:$A,0)),"")</f>
        <v>LED Light Bulb</v>
      </c>
      <c r="F22" s="16" t="n">
        <v>2</v>
      </c>
    </row>
    <row r="23" customFormat="false" ht="15" hidden="false" customHeight="false" outlineLevel="0" collapsed="false">
      <c r="A23" s="16" t="s">
        <v>147</v>
      </c>
      <c r="B23" s="16" t="s">
        <v>69</v>
      </c>
      <c r="C23" s="12" t="str">
        <f aca="false">IFERROR(INDEX(Properties!$B:$B,MATCH(B23,Properties!$A:$A,0)),"")</f>
        <v>1140 SW 44th St, Oklahoma City, OK</v>
      </c>
      <c r="D23" s="16" t="s">
        <v>119</v>
      </c>
      <c r="E23" s="12" t="str">
        <f aca="false">IFERROR(INDEX('Item Catalog'!$B:$B,MATCH(D23,'Item Catalog'!$A:$A,0)),"")</f>
        <v>HVAC Air Filter 16x20</v>
      </c>
      <c r="F23" s="16" t="n">
        <v>1</v>
      </c>
    </row>
    <row r="24" customFormat="false" ht="15" hidden="false" customHeight="false" outlineLevel="0" collapsed="false">
      <c r="A24" s="16" t="s">
        <v>148</v>
      </c>
      <c r="B24" s="16" t="s">
        <v>71</v>
      </c>
      <c r="C24" s="12" t="str">
        <f aca="false">IFERROR(INDEX(Properties!$B:$B,MATCH(B24,Properties!$A:$A,0)),"")</f>
        <v>215 Douglas Blvd Unit A, Oklahoma City, OK 73117</v>
      </c>
      <c r="D24" s="16" t="s">
        <v>112</v>
      </c>
      <c r="E24" s="12" t="str">
        <f aca="false">IFERROR(INDEX('Item Catalog'!$B:$B,MATCH(D24,'Item Catalog'!$A:$A,0)),"")</f>
        <v>LED Light Bulb</v>
      </c>
      <c r="F24" s="16" t="n">
        <v>2</v>
      </c>
    </row>
    <row r="25" customFormat="false" ht="15" hidden="false" customHeight="false" outlineLevel="0" collapsed="false">
      <c r="A25" s="16" t="s">
        <v>149</v>
      </c>
      <c r="B25" s="16" t="s">
        <v>71</v>
      </c>
      <c r="C25" s="12" t="str">
        <f aca="false">IFERROR(INDEX(Properties!$B:$B,MATCH(B25,Properties!$A:$A,0)),"")</f>
        <v>215 Douglas Blvd Unit A, Oklahoma City, OK 73117</v>
      </c>
      <c r="D25" s="16" t="s">
        <v>119</v>
      </c>
      <c r="E25" s="12" t="str">
        <f aca="false">IFERROR(INDEX('Item Catalog'!$B:$B,MATCH(D25,'Item Catalog'!$A:$A,0)),"")</f>
        <v>HVAC Air Filter 16x20</v>
      </c>
      <c r="F25" s="16" t="n">
        <v>1</v>
      </c>
    </row>
    <row r="26" customFormat="false" ht="15" hidden="false" customHeight="false" outlineLevel="0" collapsed="false">
      <c r="A26" s="16" t="s">
        <v>150</v>
      </c>
      <c r="B26" s="16" t="s">
        <v>71</v>
      </c>
      <c r="C26" s="12" t="str">
        <f aca="false">IFERROR(INDEX(Properties!$B:$B,MATCH(B26,Properties!$A:$A,0)),"")</f>
        <v>215 Douglas Blvd Unit A, Oklahoma City, OK 73117</v>
      </c>
      <c r="D26" s="16" t="s">
        <v>101</v>
      </c>
      <c r="E26" s="12" t="str">
        <f aca="false">IFERROR(INDEX('Item Catalog'!$B:$B,MATCH(D26,'Item Catalog'!$A:$A,0)),"")</f>
        <v>Trash Bags</v>
      </c>
      <c r="F26" s="16" t="n">
        <v>1</v>
      </c>
    </row>
    <row r="27" customFormat="false" ht="15" hidden="false" customHeight="false" outlineLevel="0" collapsed="false">
      <c r="A27" s="16" t="s">
        <v>151</v>
      </c>
      <c r="B27" s="16" t="s">
        <v>75</v>
      </c>
      <c r="C27" s="12" t="str">
        <f aca="false">IFERROR(INDEX(Properties!$B:$B,MATCH(B27,Properties!$A:$A,0)),"")</f>
        <v>215 Douglas Blvd Unit B, Oklahoma City, OK 73117</v>
      </c>
      <c r="D27" s="16" t="s">
        <v>112</v>
      </c>
      <c r="E27" s="12" t="str">
        <f aca="false">IFERROR(INDEX('Item Catalog'!$B:$B,MATCH(D27,'Item Catalog'!$A:$A,0)),"")</f>
        <v>LED Light Bulb</v>
      </c>
      <c r="F27" s="16" t="n">
        <v>2</v>
      </c>
    </row>
    <row r="28" customFormat="false" ht="15" hidden="false" customHeight="false" outlineLevel="0" collapsed="false">
      <c r="A28" s="16" t="s">
        <v>152</v>
      </c>
      <c r="B28" s="16" t="s">
        <v>75</v>
      </c>
      <c r="C28" s="12" t="str">
        <f aca="false">IFERROR(INDEX(Properties!$B:$B,MATCH(B28,Properties!$A:$A,0)),"")</f>
        <v>215 Douglas Blvd Unit B, Oklahoma City, OK 73117</v>
      </c>
      <c r="D28" s="16" t="s">
        <v>119</v>
      </c>
      <c r="E28" s="12" t="str">
        <f aca="false">IFERROR(INDEX('Item Catalog'!$B:$B,MATCH(D28,'Item Catalog'!$A:$A,0)),"")</f>
        <v>HVAC Air Filter 16x20</v>
      </c>
      <c r="F28" s="16" t="n">
        <v>1</v>
      </c>
    </row>
    <row r="29" customFormat="false" ht="15" hidden="false" customHeight="false" outlineLevel="0" collapsed="false">
      <c r="A29" s="16" t="s">
        <v>153</v>
      </c>
      <c r="B29" s="16" t="s">
        <v>75</v>
      </c>
      <c r="C29" s="12" t="str">
        <f aca="false">IFERROR(INDEX(Properties!$B:$B,MATCH(B29,Properties!$A:$A,0)),"")</f>
        <v>215 Douglas Blvd Unit B, Oklahoma City, OK 73117</v>
      </c>
      <c r="D29" s="16" t="s">
        <v>101</v>
      </c>
      <c r="E29" s="12" t="str">
        <f aca="false">IFERROR(INDEX('Item Catalog'!$B:$B,MATCH(D29,'Item Catalog'!$A:$A,0)),"")</f>
        <v>Trash Bags</v>
      </c>
      <c r="F29" s="16"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4"/>
    <col collapsed="false" customWidth="true" hidden="false" outlineLevel="0" max="4" min="4" style="0" width="12"/>
    <col collapsed="false" customWidth="true" hidden="false" outlineLevel="0" max="5" min="5" style="0" width="9"/>
    <col collapsed="false" customWidth="true" hidden="false" outlineLevel="0" max="6" min="6" style="0" width="22"/>
    <col collapsed="false" customWidth="true" hidden="false" outlineLevel="0" max="7" min="7" style="0" width="13"/>
    <col collapsed="false" customWidth="true" hidden="false" outlineLevel="0" max="8" min="8" style="0" width="14"/>
    <col collapsed="false" customWidth="true" hidden="false" outlineLevel="0" max="9" min="9" style="0" width="12"/>
    <col collapsed="false" customWidth="true" hidden="false" outlineLevel="0" max="10" min="10" style="0" width="34"/>
  </cols>
  <sheetData>
    <row r="1" customFormat="false" ht="31.5" hidden="false" customHeight="true" outlineLevel="0" collapsed="false">
      <c r="A1" s="11" t="s">
        <v>154</v>
      </c>
      <c r="B1" s="11" t="s">
        <v>36</v>
      </c>
      <c r="C1" s="11" t="s">
        <v>37</v>
      </c>
      <c r="D1" s="11" t="s">
        <v>155</v>
      </c>
      <c r="E1" s="11" t="s">
        <v>77</v>
      </c>
      <c r="F1" s="11" t="s">
        <v>78</v>
      </c>
      <c r="G1" s="11" t="s">
        <v>156</v>
      </c>
      <c r="H1" s="11" t="s">
        <v>157</v>
      </c>
      <c r="I1" s="11" t="s">
        <v>158</v>
      </c>
      <c r="J1" s="11" t="s">
        <v>159</v>
      </c>
    </row>
    <row r="2" customFormat="false" ht="15" hidden="false" customHeight="false" outlineLevel="0" collapsed="false">
      <c r="A2" s="16" t="s">
        <v>160</v>
      </c>
      <c r="B2" s="16" t="s">
        <v>52</v>
      </c>
      <c r="C2" s="12" t="str">
        <f aca="false">IFERROR(INDEX(Properties!$B:$B,MATCH(B2,Properties!$A:$A,0)),"")</f>
        <v>4521 NW 12th St Unit A, Oklahoma City, OK</v>
      </c>
      <c r="D2" s="19" t="n">
        <v>46250</v>
      </c>
      <c r="E2" s="16" t="s">
        <v>87</v>
      </c>
      <c r="F2" s="12" t="str">
        <f aca="false">IFERROR(INDEX('Item Catalog'!$B:$B,MATCH(E2,'Item Catalog'!$A:$A,0)),"")</f>
        <v>Toilet Paper (4pk)</v>
      </c>
      <c r="G2" s="16" t="n">
        <v>4</v>
      </c>
      <c r="H2" s="16" t="s">
        <v>161</v>
      </c>
      <c r="I2" s="16" t="s">
        <v>56</v>
      </c>
      <c r="J2" s="16" t="s">
        <v>162</v>
      </c>
    </row>
    <row r="3" customFormat="false" ht="15" hidden="false" customHeight="false" outlineLevel="0" collapsed="false">
      <c r="A3" s="16" t="s">
        <v>163</v>
      </c>
      <c r="B3" s="16" t="s">
        <v>52</v>
      </c>
      <c r="C3" s="12" t="str">
        <f aca="false">IFERROR(INDEX(Properties!$B:$B,MATCH(B3,Properties!$A:$A,0)),"")</f>
        <v>4521 NW 12th St Unit A, Oklahoma City, OK</v>
      </c>
      <c r="D3" s="19" t="n">
        <v>46264</v>
      </c>
      <c r="E3" s="16" t="s">
        <v>92</v>
      </c>
      <c r="F3" s="12" t="str">
        <f aca="false">IFERROR(INDEX('Item Catalog'!$B:$B,MATCH(E3,'Item Catalog'!$A:$A,0)),"")</f>
        <v>Paper Towels</v>
      </c>
      <c r="G3" s="16" t="n">
        <v>2</v>
      </c>
      <c r="H3" s="16" t="s">
        <v>161</v>
      </c>
      <c r="I3" s="16" t="s">
        <v>56</v>
      </c>
      <c r="J3" s="16" t="s">
        <v>162</v>
      </c>
    </row>
    <row r="4" customFormat="false" ht="15" hidden="false" customHeight="false" outlineLevel="0" collapsed="false">
      <c r="A4" s="16" t="s">
        <v>164</v>
      </c>
      <c r="B4" s="16" t="s">
        <v>59</v>
      </c>
      <c r="C4" s="12" t="str">
        <f aca="false">IFERROR(INDEX(Properties!$B:$B,MATCH(B4,Properties!$A:$A,0)),"")</f>
        <v>4523 NW 12th St Unit B, Oklahoma City, OK</v>
      </c>
      <c r="D4" s="19" t="n">
        <v>46240</v>
      </c>
      <c r="E4" s="16" t="s">
        <v>87</v>
      </c>
      <c r="F4" s="12" t="str">
        <f aca="false">IFERROR(INDEX('Item Catalog'!$B:$B,MATCH(E4,'Item Catalog'!$A:$A,0)),"")</f>
        <v>Toilet Paper (4pk)</v>
      </c>
      <c r="G4" s="16" t="n">
        <v>4</v>
      </c>
      <c r="H4" s="16" t="s">
        <v>165</v>
      </c>
      <c r="I4" s="16" t="s">
        <v>56</v>
      </c>
      <c r="J4" s="16" t="s">
        <v>162</v>
      </c>
    </row>
    <row r="5" customFormat="false" ht="15" hidden="false" customHeight="false" outlineLevel="0" collapsed="false">
      <c r="A5" s="16" t="s">
        <v>166</v>
      </c>
      <c r="B5" s="16" t="s">
        <v>59</v>
      </c>
      <c r="C5" s="12" t="str">
        <f aca="false">IFERROR(INDEX(Properties!$B:$B,MATCH(B5,Properties!$A:$A,0)),"")</f>
        <v>4523 NW 12th St Unit B, Oklahoma City, OK</v>
      </c>
      <c r="D5" s="19" t="n">
        <v>46254</v>
      </c>
      <c r="E5" s="16" t="s">
        <v>95</v>
      </c>
      <c r="F5" s="12" t="str">
        <f aca="false">IFERROR(INDEX('Item Catalog'!$B:$B,MATCH(E5,'Item Catalog'!$A:$A,0)),"")</f>
        <v>Hand Soap</v>
      </c>
      <c r="G5" s="16" t="n">
        <v>2</v>
      </c>
      <c r="H5" s="16" t="s">
        <v>165</v>
      </c>
      <c r="I5" s="16" t="s">
        <v>56</v>
      </c>
      <c r="J5" s="16" t="s">
        <v>162</v>
      </c>
    </row>
    <row r="6" customFormat="false" ht="15" hidden="false" customHeight="false" outlineLevel="0" collapsed="false">
      <c r="A6" s="16" t="s">
        <v>167</v>
      </c>
      <c r="B6" s="16" t="s">
        <v>59</v>
      </c>
      <c r="C6" s="12" t="str">
        <f aca="false">IFERROR(INDEX(Properties!$B:$B,MATCH(B6,Properties!$A:$A,0)),"")</f>
        <v>4523 NW 12th St Unit B, Oklahoma City, OK</v>
      </c>
      <c r="D6" s="19" t="n">
        <v>46266</v>
      </c>
      <c r="E6" s="16" t="s">
        <v>121</v>
      </c>
      <c r="F6" s="12" t="str">
        <f aca="false">IFERROR(INDEX('Item Catalog'!$B:$B,MATCH(E6,'Item Catalog'!$A:$A,0)),"")</f>
        <v>Welcome Toiletry Kit</v>
      </c>
      <c r="G6" s="16" t="n">
        <v>2</v>
      </c>
      <c r="H6" s="16" t="s">
        <v>165</v>
      </c>
      <c r="I6" s="16" t="s">
        <v>57</v>
      </c>
      <c r="J6" s="16" t="s">
        <v>168</v>
      </c>
    </row>
    <row r="7" customFormat="false" ht="15" hidden="false" customHeight="false" outlineLevel="0" collapsed="false">
      <c r="A7" s="16" t="s">
        <v>169</v>
      </c>
      <c r="B7" s="16" t="s">
        <v>61</v>
      </c>
      <c r="C7" s="12" t="str">
        <f aca="false">IFERROR(INDEX(Properties!$B:$B,MATCH(B7,Properties!$A:$A,0)),"")</f>
        <v>4525 NW 12th St Unit C, Oklahoma City, OK</v>
      </c>
      <c r="D7" s="19" t="n">
        <v>46235</v>
      </c>
      <c r="E7" s="16" t="s">
        <v>101</v>
      </c>
      <c r="F7" s="12" t="str">
        <f aca="false">IFERROR(INDEX('Item Catalog'!$B:$B,MATCH(E7,'Item Catalog'!$A:$A,0)),"")</f>
        <v>Trash Bags</v>
      </c>
      <c r="G7" s="16" t="n">
        <v>1</v>
      </c>
      <c r="H7" s="16" t="s">
        <v>161</v>
      </c>
      <c r="I7" s="16" t="s">
        <v>56</v>
      </c>
      <c r="J7" s="16" t="s">
        <v>162</v>
      </c>
    </row>
    <row r="8" customFormat="false" ht="15" hidden="false" customHeight="false" outlineLevel="0" collapsed="false">
      <c r="A8" s="16" t="s">
        <v>170</v>
      </c>
      <c r="B8" s="16" t="s">
        <v>61</v>
      </c>
      <c r="C8" s="12" t="str">
        <f aca="false">IFERROR(INDEX(Properties!$B:$B,MATCH(B8,Properties!$A:$A,0)),"")</f>
        <v>4525 NW 12th St Unit C, Oklahoma City, OK</v>
      </c>
      <c r="D8" s="19" t="n">
        <v>46249</v>
      </c>
      <c r="E8" s="16" t="s">
        <v>121</v>
      </c>
      <c r="F8" s="12" t="str">
        <f aca="false">IFERROR(INDEX('Item Catalog'!$B:$B,MATCH(E8,'Item Catalog'!$A:$A,0)),"")</f>
        <v>Welcome Toiletry Kit</v>
      </c>
      <c r="G8" s="16" t="n">
        <v>2</v>
      </c>
      <c r="H8" s="16" t="s">
        <v>161</v>
      </c>
      <c r="I8" s="16" t="s">
        <v>56</v>
      </c>
      <c r="J8" s="16" t="s">
        <v>162</v>
      </c>
    </row>
    <row r="9" customFormat="false" ht="15" hidden="false" customHeight="false" outlineLevel="0" collapsed="false">
      <c r="A9" s="16" t="s">
        <v>171</v>
      </c>
      <c r="B9" s="16" t="s">
        <v>63</v>
      </c>
      <c r="C9" s="12" t="str">
        <f aca="false">IFERROR(INDEX(Properties!$B:$B,MATCH(B9,Properties!$A:$A,0)),"")</f>
        <v>4527 NW 12th St Unit D, Oklahoma City, OK</v>
      </c>
      <c r="D9" s="19" t="n">
        <v>46256</v>
      </c>
      <c r="E9" s="16" t="s">
        <v>87</v>
      </c>
      <c r="F9" s="12" t="str">
        <f aca="false">IFERROR(INDEX('Item Catalog'!$B:$B,MATCH(E9,'Item Catalog'!$A:$A,0)),"")</f>
        <v>Toilet Paper (4pk)</v>
      </c>
      <c r="G9" s="16" t="n">
        <v>4</v>
      </c>
      <c r="H9" s="16" t="s">
        <v>165</v>
      </c>
      <c r="I9" s="16" t="s">
        <v>56</v>
      </c>
      <c r="J9" s="16" t="s">
        <v>162</v>
      </c>
    </row>
    <row r="10" customFormat="false" ht="15" hidden="false" customHeight="false" outlineLevel="0" collapsed="false">
      <c r="A10" s="16" t="s">
        <v>172</v>
      </c>
      <c r="B10" s="16" t="s">
        <v>63</v>
      </c>
      <c r="C10" s="12" t="str">
        <f aca="false">IFERROR(INDEX(Properties!$B:$B,MATCH(B10,Properties!$A:$A,0)),"")</f>
        <v>4527 NW 12th St Unit D, Oklahoma City, OK</v>
      </c>
      <c r="D10" s="19" t="n">
        <v>46270</v>
      </c>
      <c r="E10" s="16" t="s">
        <v>92</v>
      </c>
      <c r="F10" s="12" t="str">
        <f aca="false">IFERROR(INDEX('Item Catalog'!$B:$B,MATCH(E10,'Item Catalog'!$A:$A,0)),"")</f>
        <v>Paper Towels</v>
      </c>
      <c r="G10" s="16" t="n">
        <v>2</v>
      </c>
      <c r="H10" s="16" t="s">
        <v>165</v>
      </c>
      <c r="I10" s="16" t="s">
        <v>56</v>
      </c>
      <c r="J10" s="16" t="s">
        <v>162</v>
      </c>
    </row>
    <row r="11" customFormat="false" ht="15" hidden="false" customHeight="false" outlineLevel="0" collapsed="false">
      <c r="A11" s="16" t="s">
        <v>173</v>
      </c>
      <c r="B11" s="16" t="s">
        <v>65</v>
      </c>
      <c r="C11" s="12" t="str">
        <f aca="false">IFERROR(INDEX(Properties!$B:$B,MATCH(B11,Properties!$A:$A,0)),"")</f>
        <v>1892 SE Grand Blvd, Oklahoma City, OK</v>
      </c>
      <c r="D11" s="19" t="n">
        <v>46174</v>
      </c>
      <c r="E11" s="16" t="s">
        <v>112</v>
      </c>
      <c r="F11" s="12" t="str">
        <f aca="false">IFERROR(INDEX('Item Catalog'!$B:$B,MATCH(E11,'Item Catalog'!$A:$A,0)),"")</f>
        <v>LED Light Bulb</v>
      </c>
      <c r="G11" s="16" t="n">
        <v>2</v>
      </c>
      <c r="H11" s="16" t="s">
        <v>174</v>
      </c>
      <c r="I11" s="16" t="s">
        <v>56</v>
      </c>
      <c r="J11" s="16" t="s">
        <v>175</v>
      </c>
    </row>
    <row r="12" customFormat="false" ht="15" hidden="false" customHeight="false" outlineLevel="0" collapsed="false">
      <c r="A12" s="16" t="s">
        <v>176</v>
      </c>
      <c r="B12" s="16" t="s">
        <v>69</v>
      </c>
      <c r="C12" s="12" t="str">
        <f aca="false">IFERROR(INDEX(Properties!$B:$B,MATCH(B12,Properties!$A:$A,0)),"")</f>
        <v>1140 SW 44th St, Oklahoma City, OK</v>
      </c>
      <c r="D12" s="19" t="n">
        <v>46218</v>
      </c>
      <c r="E12" s="16" t="s">
        <v>119</v>
      </c>
      <c r="F12" s="12" t="str">
        <f aca="false">IFERROR(INDEX('Item Catalog'!$B:$B,MATCH(E12,'Item Catalog'!$A:$A,0)),"")</f>
        <v>HVAC Air Filter 16x20</v>
      </c>
      <c r="G12" s="16" t="n">
        <v>1</v>
      </c>
      <c r="H12" s="16" t="s">
        <v>174</v>
      </c>
      <c r="I12" s="16" t="s">
        <v>56</v>
      </c>
      <c r="J12" s="16" t="s">
        <v>177</v>
      </c>
    </row>
    <row r="13" customFormat="false" ht="15" hidden="false" customHeight="false" outlineLevel="0" collapsed="false">
      <c r="A13" s="16" t="s">
        <v>178</v>
      </c>
      <c r="B13" s="16" t="s">
        <v>71</v>
      </c>
      <c r="C13" s="12" t="str">
        <f aca="false">IFERROR(INDEX(Properties!$B:$B,MATCH(B13,Properties!$A:$A,0)),"")</f>
        <v>215 Douglas Blvd Unit A, Oklahoma City, OK 73117</v>
      </c>
      <c r="D13" s="19" t="n">
        <v>46223</v>
      </c>
      <c r="E13" s="16" t="s">
        <v>112</v>
      </c>
      <c r="F13" s="12" t="str">
        <f aca="false">IFERROR(INDEX('Item Catalog'!$B:$B,MATCH(E13,'Item Catalog'!$A:$A,0)),"")</f>
        <v>LED Light Bulb</v>
      </c>
      <c r="G13" s="16" t="n">
        <v>2</v>
      </c>
      <c r="H13" s="16" t="s">
        <v>174</v>
      </c>
      <c r="I13" s="16" t="s">
        <v>56</v>
      </c>
      <c r="J13" s="16" t="s">
        <v>179</v>
      </c>
    </row>
    <row r="14" customFormat="false" ht="15" hidden="false" customHeight="false" outlineLevel="0" collapsed="false">
      <c r="A14" s="16" t="s">
        <v>180</v>
      </c>
      <c r="B14" s="16" t="s">
        <v>71</v>
      </c>
      <c r="C14" s="12" t="str">
        <f aca="false">IFERROR(INDEX(Properties!$B:$B,MATCH(B14,Properties!$A:$A,0)),"")</f>
        <v>215 Douglas Blvd Unit A, Oklahoma City, OK 73117</v>
      </c>
      <c r="D14" s="19" t="n">
        <v>46174</v>
      </c>
      <c r="E14" s="16" t="s">
        <v>101</v>
      </c>
      <c r="F14" s="12" t="str">
        <f aca="false">IFERROR(INDEX('Item Catalog'!$B:$B,MATCH(E14,'Item Catalog'!$A:$A,0)),"")</f>
        <v>Trash Bags</v>
      </c>
      <c r="G14" s="16" t="n">
        <v>1</v>
      </c>
      <c r="H14" s="16" t="s">
        <v>174</v>
      </c>
      <c r="I14" s="16" t="s">
        <v>56</v>
      </c>
      <c r="J14" s="16" t="s">
        <v>179</v>
      </c>
    </row>
    <row r="15" customFormat="false" ht="15" hidden="false" customHeight="false" outlineLevel="0" collapsed="false">
      <c r="A15" s="16" t="s">
        <v>181</v>
      </c>
      <c r="B15" s="16" t="s">
        <v>75</v>
      </c>
      <c r="C15" s="12" t="str">
        <f aca="false">IFERROR(INDEX(Properties!$B:$B,MATCH(B15,Properties!$A:$A,0)),"")</f>
        <v>215 Douglas Blvd Unit B, Oklahoma City, OK 73117</v>
      </c>
      <c r="D15" s="19" t="n">
        <v>46239</v>
      </c>
      <c r="E15" s="16" t="s">
        <v>119</v>
      </c>
      <c r="F15" s="12" t="str">
        <f aca="false">IFERROR(INDEX('Item Catalog'!$B:$B,MATCH(E15,'Item Catalog'!$A:$A,0)),"")</f>
        <v>HVAC Air Filter 16x20</v>
      </c>
      <c r="G15" s="16" t="n">
        <v>1</v>
      </c>
      <c r="H15" s="16" t="s">
        <v>174</v>
      </c>
      <c r="I15" s="16" t="s">
        <v>56</v>
      </c>
      <c r="J15" s="16" t="s">
        <v>179</v>
      </c>
    </row>
    <row r="16" customFormat="false" ht="15" hidden="false" customHeight="false" outlineLevel="0" collapsed="false">
      <c r="A16" s="16" t="s">
        <v>182</v>
      </c>
      <c r="B16" s="16" t="s">
        <v>75</v>
      </c>
      <c r="C16" s="12" t="str">
        <f aca="false">IFERROR(INDEX(Properties!$B:$B,MATCH(B16,Properties!$A:$A,0)),"")</f>
        <v>215 Douglas Blvd Unit B, Oklahoma City, OK 73117</v>
      </c>
      <c r="D16" s="19" t="n">
        <v>46204</v>
      </c>
      <c r="E16" s="16" t="s">
        <v>112</v>
      </c>
      <c r="F16" s="12" t="str">
        <f aca="false">IFERROR(INDEX('Item Catalog'!$B:$B,MATCH(E16,'Item Catalog'!$A:$A,0)),"")</f>
        <v>LED Light Bulb</v>
      </c>
      <c r="G16" s="16" t="n">
        <v>2</v>
      </c>
      <c r="H16" s="16" t="s">
        <v>174</v>
      </c>
      <c r="I16" s="16" t="s">
        <v>56</v>
      </c>
      <c r="J16" s="16" t="s">
        <v>179</v>
      </c>
    </row>
  </sheetData>
  <dataValidations count="1">
    <dataValidation allowBlank="true" errorStyle="stop" operator="between" showDropDown="false" showErrorMessage="false" showInputMessage="false" sqref="I2:I100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4"/>
    <col collapsed="false" customWidth="true" hidden="false" outlineLevel="0" max="4" min="4" style="0" width="12"/>
    <col collapsed="false" customWidth="true" hidden="false" outlineLevel="0" max="5" min="5" style="0" width="16"/>
    <col collapsed="false" customWidth="true" hidden="false" outlineLevel="0" max="6" min="6" style="0" width="40"/>
    <col collapsed="false" customWidth="true" hidden="false" outlineLevel="0" max="7" min="7" style="0" width="26"/>
    <col collapsed="false" customWidth="true" hidden="false" outlineLevel="0" max="8" min="8" style="0" width="12"/>
  </cols>
  <sheetData>
    <row r="1" customFormat="false" ht="31.5" hidden="false" customHeight="true" outlineLevel="0" collapsed="false">
      <c r="A1" s="11" t="s">
        <v>183</v>
      </c>
      <c r="B1" s="11" t="s">
        <v>36</v>
      </c>
      <c r="C1" s="11" t="s">
        <v>37</v>
      </c>
      <c r="D1" s="11" t="s">
        <v>155</v>
      </c>
      <c r="E1" s="11" t="s">
        <v>79</v>
      </c>
      <c r="F1" s="11" t="s">
        <v>184</v>
      </c>
      <c r="G1" s="11" t="s">
        <v>185</v>
      </c>
      <c r="H1" s="11" t="s">
        <v>44</v>
      </c>
    </row>
    <row r="2" customFormat="false" ht="15" hidden="false" customHeight="false" outlineLevel="0" collapsed="false">
      <c r="A2" s="16" t="s">
        <v>186</v>
      </c>
      <c r="B2" s="16" t="s">
        <v>52</v>
      </c>
      <c r="C2" s="12" t="str">
        <f aca="false">IFERROR(INDEX(Properties!$B:$B,MATCH(B2,Properties!$A:$A,0)),"")</f>
        <v>4521 NW 12th St Unit A, Oklahoma City, OK</v>
      </c>
      <c r="D2" s="19" t="n">
        <v>46264</v>
      </c>
      <c r="E2" s="16" t="s">
        <v>187</v>
      </c>
      <c r="F2" s="16" t="s">
        <v>188</v>
      </c>
      <c r="G2" s="16" t="s">
        <v>189</v>
      </c>
      <c r="H2" s="16" t="s">
        <v>190</v>
      </c>
    </row>
    <row r="3" customFormat="false" ht="15" hidden="false" customHeight="false" outlineLevel="0" collapsed="false">
      <c r="A3" s="16" t="s">
        <v>191</v>
      </c>
      <c r="B3" s="16" t="s">
        <v>61</v>
      </c>
      <c r="C3" s="12" t="str">
        <f aca="false">IFERROR(INDEX(Properties!$B:$B,MATCH(B3,Properties!$A:$A,0)),"")</f>
        <v>4525 NW 12th St Unit C, Oklahoma City, OK</v>
      </c>
      <c r="D3" s="19" t="n">
        <v>46249</v>
      </c>
      <c r="E3" s="16" t="s">
        <v>192</v>
      </c>
      <c r="F3" s="16" t="s">
        <v>193</v>
      </c>
      <c r="G3" s="16" t="s">
        <v>194</v>
      </c>
      <c r="H3" s="16" t="s">
        <v>195</v>
      </c>
    </row>
    <row r="4" customFormat="false" ht="15" hidden="false" customHeight="false" outlineLevel="0" collapsed="false">
      <c r="A4" s="16" t="s">
        <v>196</v>
      </c>
      <c r="B4" s="16" t="s">
        <v>65</v>
      </c>
      <c r="C4" s="12" t="str">
        <f aca="false">IFERROR(INDEX(Properties!$B:$B,MATCH(B4,Properties!$A:$A,0)),"")</f>
        <v>1892 SE Grand Blvd, Oklahoma City, OK</v>
      </c>
      <c r="D4" s="19" t="n">
        <v>46213</v>
      </c>
      <c r="E4" s="16" t="s">
        <v>197</v>
      </c>
      <c r="F4" s="16" t="s">
        <v>198</v>
      </c>
      <c r="G4" s="16"/>
      <c r="H4" s="16" t="s">
        <v>195</v>
      </c>
    </row>
    <row r="5" customFormat="false" ht="15" hidden="false" customHeight="false" outlineLevel="0" collapsed="false">
      <c r="A5" s="16" t="s">
        <v>199</v>
      </c>
      <c r="B5" s="16" t="s">
        <v>69</v>
      </c>
      <c r="C5" s="12" t="str">
        <f aca="false">IFERROR(INDEX(Properties!$B:$B,MATCH(B5,Properties!$A:$A,0)),"")</f>
        <v>1140 SW 44th St, Oklahoma City, OK</v>
      </c>
      <c r="D5" s="19" t="n">
        <v>46218</v>
      </c>
      <c r="E5" s="16" t="s">
        <v>187</v>
      </c>
      <c r="F5" s="16" t="s">
        <v>200</v>
      </c>
      <c r="G5" s="16" t="s">
        <v>201</v>
      </c>
      <c r="H5" s="16" t="s">
        <v>190</v>
      </c>
    </row>
    <row r="6" customFormat="false" ht="15" hidden="false" customHeight="false" outlineLevel="0" collapsed="false">
      <c r="A6" s="16" t="s">
        <v>202</v>
      </c>
      <c r="B6" s="16" t="s">
        <v>59</v>
      </c>
      <c r="C6" s="12" t="str">
        <f aca="false">IFERROR(INDEX(Properties!$B:$B,MATCH(B6,Properties!$A:$A,0)),"")</f>
        <v>4523 NW 12th St Unit B, Oklahoma City, OK</v>
      </c>
      <c r="D6" s="19" t="n">
        <v>46266</v>
      </c>
      <c r="E6" s="16" t="s">
        <v>192</v>
      </c>
      <c r="F6" s="16" t="s">
        <v>203</v>
      </c>
      <c r="G6" s="16" t="s">
        <v>204</v>
      </c>
      <c r="H6" s="16" t="s">
        <v>190</v>
      </c>
    </row>
    <row r="7" customFormat="false" ht="15" hidden="false" customHeight="false" outlineLevel="0" collapsed="false">
      <c r="A7" s="16" t="s">
        <v>205</v>
      </c>
      <c r="B7" s="16" t="s">
        <v>71</v>
      </c>
      <c r="C7" s="12" t="str">
        <f aca="false">IFERROR(INDEX(Properties!$B:$B,MATCH(B7,Properties!$A:$A,0)),"")</f>
        <v>215 Douglas Blvd Unit A, Oklahoma City, OK 73117</v>
      </c>
      <c r="D7" s="19" t="n">
        <v>46174</v>
      </c>
      <c r="E7" s="16" t="s">
        <v>187</v>
      </c>
      <c r="F7" s="16" t="s">
        <v>206</v>
      </c>
      <c r="G7" s="16" t="s">
        <v>207</v>
      </c>
      <c r="H7" s="16" t="s">
        <v>195</v>
      </c>
    </row>
  </sheetData>
  <dataValidations count="2">
    <dataValidation allowBlank="true" errorStyle="stop" operator="between" showDropDown="false" showErrorMessage="false" showInputMessage="false" sqref="E2:E1000" type="list">
      <formula1>"Restock Issue,Repair,General"</formula1>
      <formula2>0</formula2>
    </dataValidation>
    <dataValidation allowBlank="true" errorStyle="stop" operator="between" showDropDown="false" showErrorMessage="false" showInputMessage="false" sqref="H2:H1000" type="list">
      <formula1>"Open,Resolved"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2026-09-09T13:52:22Z</dcterms:created>
  <dc:creator>openpyxl</dc:creator>
  <dc:description/>
  <dc:language>en-US</dc:language>
  <cp:lastModifiedBy/>
  <dcterms:modified xsi:type="dcterms:W3CDTF">2026-09-09T13:52:22Z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